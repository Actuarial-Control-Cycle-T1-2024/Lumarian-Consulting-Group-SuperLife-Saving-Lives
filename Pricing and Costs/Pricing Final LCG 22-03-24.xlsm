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nsw-my.sharepoint.com/personal/z5362368_ad_unsw_edu_au/Documents/Actl 4001/"/>
    </mc:Choice>
  </mc:AlternateContent>
  <xr:revisionPtr revIDLastSave="10" documentId="8_{F2481B2A-7C17-D344-809E-09DED54ECFB5}" xr6:coauthVersionLast="47" xr6:coauthVersionMax="47" xr10:uidLastSave="{C99643F4-9FE7-0045-99F6-C0D33172D4E0}"/>
  <bookViews>
    <workbookView xWindow="0" yWindow="500" windowWidth="28800" windowHeight="16500" xr2:uid="{00000000-000D-0000-FFFF-FFFF00000000}"/>
  </bookViews>
  <sheets>
    <sheet name="20 Year Smoker" sheetId="8" r:id="rId1"/>
    <sheet name="20 Year Smoker W Intervention" sheetId="17" r:id="rId2"/>
    <sheet name="Term Smoker Mortality Exp" sheetId="33" r:id="rId3"/>
    <sheet name="20 Year Non-Smoker" sheetId="14" r:id="rId4"/>
    <sheet name="20 Year Non-Smoker W Inter" sheetId="18" r:id="rId5"/>
    <sheet name="20 Year NonSmoker Mortality Exp" sheetId="32" r:id="rId6"/>
    <sheet name="Whole Life Non Smoker" sheetId="15" r:id="rId7"/>
    <sheet name="Whole Life Non-Smoker W Inter" sheetId="31" r:id="rId8"/>
    <sheet name="WL Non-Smoker Mortality Exp" sheetId="34" r:id="rId9"/>
    <sheet name="Mortality Table Latest" sheetId="13" r:id="rId10"/>
  </sheets>
  <definedNames>
    <definedName name="solver_adj" localSheetId="3" hidden="1">'20 Year Non-Smoker'!$H$3</definedName>
    <definedName name="solver_adj" localSheetId="0" hidden="1">'20 Year Smoker'!$H$3</definedName>
    <definedName name="solver_adj" localSheetId="6" hidden="1">'Whole Life Non Smoker'!$H$3</definedName>
    <definedName name="solver_adj" localSheetId="7" hidden="1">'Whole Life Non-Smoker W Inter'!$H$3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drv" localSheetId="7" hidden="1">1</definedName>
    <definedName name="solver_eng" localSheetId="3" hidden="1">1</definedName>
    <definedName name="solver_eng" localSheetId="4" hidden="1">1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st" localSheetId="3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itr" localSheetId="7" hidden="1">2147483647</definedName>
    <definedName name="solver_lin" localSheetId="3" hidden="1">2</definedName>
    <definedName name="solver_lin" localSheetId="0" hidden="1">2</definedName>
    <definedName name="solver_lin" localSheetId="6" hidden="1">2</definedName>
    <definedName name="solver_lin" localSheetId="7" hidden="1">2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neg" localSheetId="3" hidden="1">2</definedName>
    <definedName name="solver_neg" localSheetId="4" hidden="1">1</definedName>
    <definedName name="solver_neg" localSheetId="0" hidden="1">2</definedName>
    <definedName name="solver_neg" localSheetId="6" hidden="1">2</definedName>
    <definedName name="solver_neg" localSheetId="7" hidden="1">2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um" localSheetId="3" hidden="1">0</definedName>
    <definedName name="solver_num" localSheetId="4" hidden="1">0</definedName>
    <definedName name="solver_num" localSheetId="0" hidden="1">0</definedName>
    <definedName name="solver_num" localSheetId="6" hidden="1">0</definedName>
    <definedName name="solver_num" localSheetId="7" hidden="1">0</definedName>
    <definedName name="solver_nwt" localSheetId="3" hidden="1">1</definedName>
    <definedName name="solver_opt" localSheetId="3" hidden="1">'20 Year Non-Smoker'!$C$25</definedName>
    <definedName name="solver_opt" localSheetId="4" hidden="1">'20 Year Non-Smoker W Inter'!$H$3</definedName>
    <definedName name="solver_opt" localSheetId="0" hidden="1">'20 Year Smoker'!$C$25</definedName>
    <definedName name="solver_opt" localSheetId="6" hidden="1">'Whole Life Non Smoker'!$C$25</definedName>
    <definedName name="solver_opt" localSheetId="7" hidden="1">'Whole Life Non-Smoker W Inter'!$C$25</definedName>
    <definedName name="solver_pre" localSheetId="3" hidden="1">0.000001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bv" localSheetId="7" hidden="1">1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lx" localSheetId="7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cl" localSheetId="7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im" localSheetId="7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ol" localSheetId="7" hidden="1">0.01</definedName>
    <definedName name="solver_typ" localSheetId="3" hidden="1">3</definedName>
    <definedName name="solver_typ" localSheetId="4" hidden="1">1</definedName>
    <definedName name="solver_typ" localSheetId="0" hidden="1">3</definedName>
    <definedName name="solver_typ" localSheetId="6" hidden="1">3</definedName>
    <definedName name="solver_typ" localSheetId="7" hidden="1">3</definedName>
    <definedName name="solver_val" localSheetId="3" hidden="1">0</definedName>
    <definedName name="solver_val" localSheetId="4" hidden="1">0</definedName>
    <definedName name="solver_val" localSheetId="0" hidden="1">0</definedName>
    <definedName name="solver_val" localSheetId="6" hidden="1">0</definedName>
    <definedName name="solver_val" localSheetId="7" hidden="1">0</definedName>
    <definedName name="solver_ver" localSheetId="3" hidden="1">2</definedName>
    <definedName name="solver_ver" localSheetId="4" hidden="1">3</definedName>
    <definedName name="solver_ver" localSheetId="0" hidden="1">2</definedName>
    <definedName name="solver_ver" localSheetId="6" hidden="1">2</definedName>
    <definedName name="solver_ver" localSheetId="7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5" i="31" l="1"/>
  <c r="Q66" i="31"/>
  <c r="Q67" i="31"/>
  <c r="Q68" i="31"/>
  <c r="Q69" i="31"/>
  <c r="Q70" i="31"/>
  <c r="Q71" i="31"/>
  <c r="Q72" i="31"/>
  <c r="Q73" i="31"/>
  <c r="Q74" i="31"/>
  <c r="Q75" i="31"/>
  <c r="Q76" i="31"/>
  <c r="V57" i="17"/>
  <c r="C17" i="18" l="1"/>
  <c r="L8" i="18"/>
  <c r="R127" i="31"/>
  <c r="Q136" i="31"/>
  <c r="Q135" i="31"/>
  <c r="A44" i="31" s="1"/>
  <c r="M131" i="31"/>
  <c r="M130" i="31"/>
  <c r="M129" i="31"/>
  <c r="M128" i="31"/>
  <c r="M127" i="31"/>
  <c r="M126" i="31"/>
  <c r="M125" i="31"/>
  <c r="M124" i="31"/>
  <c r="M123" i="31"/>
  <c r="M122" i="31"/>
  <c r="P122" i="31" s="1"/>
  <c r="M121" i="31"/>
  <c r="M120" i="31"/>
  <c r="M119" i="31"/>
  <c r="M118" i="31"/>
  <c r="M117" i="31"/>
  <c r="M116" i="31"/>
  <c r="M115" i="31"/>
  <c r="M114" i="31"/>
  <c r="M113" i="31"/>
  <c r="P113" i="31" s="1"/>
  <c r="M112" i="31"/>
  <c r="Q133" i="31" l="1"/>
  <c r="R112" i="31"/>
  <c r="P112" i="31"/>
  <c r="J45" i="15"/>
  <c r="I45" i="15" s="1"/>
  <c r="S45" i="15" s="1"/>
  <c r="N77" i="18"/>
  <c r="Q77" i="18"/>
  <c r="O82" i="18" s="1"/>
  <c r="B35" i="18" s="1"/>
  <c r="P75" i="18"/>
  <c r="R75" i="18"/>
  <c r="P5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U98" i="17"/>
  <c r="A34" i="17" s="1"/>
  <c r="U74" i="17"/>
  <c r="N72" i="17"/>
  <c r="P57" i="17"/>
  <c r="Q72" i="17"/>
  <c r="R57" i="17"/>
  <c r="M71" i="17"/>
  <c r="M70" i="17"/>
  <c r="M69" i="17"/>
  <c r="M68" i="17"/>
  <c r="M67" i="17"/>
  <c r="P67" i="17" s="1"/>
  <c r="M66" i="17"/>
  <c r="M65" i="17"/>
  <c r="M64" i="17"/>
  <c r="P64" i="17" s="1"/>
  <c r="M63" i="17"/>
  <c r="M62" i="17"/>
  <c r="M61" i="17"/>
  <c r="M60" i="17"/>
  <c r="P60" i="17" s="1"/>
  <c r="M59" i="17"/>
  <c r="M58" i="17"/>
  <c r="P58" i="17" s="1"/>
  <c r="M57" i="17"/>
  <c r="AT24" i="18"/>
  <c r="AR14" i="18"/>
  <c r="AR13" i="18"/>
  <c r="R70" i="17"/>
  <c r="R59" i="17"/>
  <c r="P68" i="17"/>
  <c r="P69" i="17"/>
  <c r="P70" i="17"/>
  <c r="P71" i="17"/>
  <c r="P63" i="17"/>
  <c r="P65" i="17"/>
  <c r="P66" i="17"/>
  <c r="P59" i="17"/>
  <c r="P61" i="17"/>
  <c r="P62" i="17"/>
  <c r="R58" i="17"/>
  <c r="R60" i="17"/>
  <c r="R61" i="17"/>
  <c r="R62" i="17"/>
  <c r="R63" i="17"/>
  <c r="R64" i="17"/>
  <c r="R65" i="17"/>
  <c r="R66" i="17"/>
  <c r="R67" i="17"/>
  <c r="R68" i="17"/>
  <c r="R69" i="17"/>
  <c r="R71" i="17"/>
  <c r="T72" i="17"/>
  <c r="J46" i="15" l="1"/>
  <c r="R72" i="17"/>
  <c r="P131" i="31"/>
  <c r="P129" i="31"/>
  <c r="P128" i="31"/>
  <c r="P127" i="31"/>
  <c r="P126" i="31"/>
  <c r="P119" i="31"/>
  <c r="P118" i="31"/>
  <c r="P114" i="31"/>
  <c r="P123" i="31"/>
  <c r="P124" i="31"/>
  <c r="P125" i="31"/>
  <c r="P130" i="31"/>
  <c r="R113" i="31"/>
  <c r="R114" i="31"/>
  <c r="R115" i="31"/>
  <c r="R116" i="31"/>
  <c r="R117" i="31"/>
  <c r="R118" i="31"/>
  <c r="R119" i="31"/>
  <c r="R120" i="31"/>
  <c r="R121" i="31"/>
  <c r="R122" i="31"/>
  <c r="R123" i="31"/>
  <c r="R124" i="31"/>
  <c r="R125" i="31"/>
  <c r="R126" i="31"/>
  <c r="R128" i="31"/>
  <c r="R129" i="31"/>
  <c r="R130" i="31"/>
  <c r="R131" i="31"/>
  <c r="N133" i="31"/>
  <c r="P115" i="31"/>
  <c r="P116" i="31"/>
  <c r="P117" i="31"/>
  <c r="P120" i="31"/>
  <c r="P121" i="31"/>
  <c r="I46" i="15" l="1"/>
  <c r="S46" i="15" s="1"/>
  <c r="J47" i="15"/>
  <c r="E11" i="31"/>
  <c r="AT5" i="31"/>
  <c r="P63" i="18"/>
  <c r="P64" i="18"/>
  <c r="P65" i="18"/>
  <c r="P66" i="18"/>
  <c r="P67" i="18"/>
  <c r="P68" i="18"/>
  <c r="P69" i="18"/>
  <c r="P70" i="18"/>
  <c r="P71" i="18"/>
  <c r="P72" i="18"/>
  <c r="P73" i="18"/>
  <c r="P74" i="18"/>
  <c r="P76" i="18"/>
  <c r="P62" i="18"/>
  <c r="P61" i="18"/>
  <c r="R57" i="18"/>
  <c r="P60" i="18"/>
  <c r="P59" i="18"/>
  <c r="P58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6" i="18"/>
  <c r="C16" i="18"/>
  <c r="C16" i="14"/>
  <c r="C17" i="17"/>
  <c r="Y72" i="17"/>
  <c r="V68" i="17"/>
  <c r="V69" i="17"/>
  <c r="V70" i="17"/>
  <c r="V71" i="17"/>
  <c r="V63" i="17"/>
  <c r="V64" i="17"/>
  <c r="V65" i="17"/>
  <c r="V66" i="17"/>
  <c r="V62" i="17"/>
  <c r="V58" i="17"/>
  <c r="V59" i="17"/>
  <c r="V60" i="17"/>
  <c r="V61" i="17"/>
  <c r="W72" i="17"/>
  <c r="C16" i="17"/>
  <c r="V67" i="17"/>
  <c r="K21" i="17"/>
  <c r="K23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AT24" i="8"/>
  <c r="AT5" i="8"/>
  <c r="AR6" i="8"/>
  <c r="AR7" i="8" s="1"/>
  <c r="AR8" i="8" s="1"/>
  <c r="AR9" i="8" s="1"/>
  <c r="AR10" i="8" s="1"/>
  <c r="AR11" i="8" s="1"/>
  <c r="AR12" i="8" s="1"/>
  <c r="AR13" i="8" s="1"/>
  <c r="AR14" i="8" s="1"/>
  <c r="AR15" i="8" s="1"/>
  <c r="AR16" i="8" s="1"/>
  <c r="AR17" i="8" s="1"/>
  <c r="AR18" i="8" s="1"/>
  <c r="AR19" i="8" s="1"/>
  <c r="AR20" i="8" s="1"/>
  <c r="AR21" i="8" s="1"/>
  <c r="AR22" i="8" s="1"/>
  <c r="AR23" i="8" s="1"/>
  <c r="AT23" i="8" s="1"/>
  <c r="U134" i="31"/>
  <c r="U113" i="31"/>
  <c r="U114" i="31"/>
  <c r="U115" i="31"/>
  <c r="U116" i="31"/>
  <c r="U117" i="31"/>
  <c r="U118" i="31"/>
  <c r="U119" i="31"/>
  <c r="U120" i="31"/>
  <c r="U121" i="31"/>
  <c r="U122" i="31"/>
  <c r="U123" i="31"/>
  <c r="U124" i="31"/>
  <c r="U125" i="31"/>
  <c r="U126" i="31"/>
  <c r="U127" i="31"/>
  <c r="U128" i="31"/>
  <c r="U129" i="31"/>
  <c r="U130" i="31"/>
  <c r="U131" i="31"/>
  <c r="U112" i="31"/>
  <c r="U112" i="15"/>
  <c r="V112" i="15" s="1"/>
  <c r="AT5" i="15"/>
  <c r="AT6" i="15"/>
  <c r="AT7" i="15"/>
  <c r="AT8" i="15"/>
  <c r="AT9" i="15"/>
  <c r="AT10" i="15"/>
  <c r="AT11" i="15"/>
  <c r="AT12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4" i="31"/>
  <c r="E11" i="15"/>
  <c r="U113" i="15"/>
  <c r="V113" i="15" s="1"/>
  <c r="U114" i="15"/>
  <c r="V114" i="15" s="1"/>
  <c r="U115" i="15"/>
  <c r="V115" i="15" s="1"/>
  <c r="U116" i="15"/>
  <c r="V116" i="15" s="1"/>
  <c r="U117" i="15"/>
  <c r="V117" i="15" s="1"/>
  <c r="U118" i="15"/>
  <c r="V118" i="15" s="1"/>
  <c r="U119" i="15"/>
  <c r="V119" i="15" s="1"/>
  <c r="U120" i="15"/>
  <c r="V120" i="15" s="1"/>
  <c r="U121" i="15"/>
  <c r="V121" i="15" s="1"/>
  <c r="U122" i="15"/>
  <c r="V122" i="15" s="1"/>
  <c r="U123" i="15"/>
  <c r="V123" i="15" s="1"/>
  <c r="U124" i="15"/>
  <c r="V124" i="15" s="1"/>
  <c r="U125" i="15"/>
  <c r="V125" i="15" s="1"/>
  <c r="U126" i="15"/>
  <c r="V126" i="15" s="1"/>
  <c r="U127" i="15"/>
  <c r="V127" i="15" s="1"/>
  <c r="U128" i="15"/>
  <c r="V128" i="15" s="1"/>
  <c r="U129" i="15"/>
  <c r="V129" i="15" s="1"/>
  <c r="U130" i="15"/>
  <c r="V130" i="15" s="1"/>
  <c r="U131" i="15"/>
  <c r="V131" i="15" s="1"/>
  <c r="AR8" i="15"/>
  <c r="AR9" i="15" s="1"/>
  <c r="AR10" i="15" s="1"/>
  <c r="AR11" i="15" s="1"/>
  <c r="AR12" i="15" s="1"/>
  <c r="AR13" i="15" s="1"/>
  <c r="AR14" i="15" s="1"/>
  <c r="AR15" i="15" s="1"/>
  <c r="AR16" i="15" s="1"/>
  <c r="AR17" i="15" s="1"/>
  <c r="AR18" i="15" s="1"/>
  <c r="AR19" i="15" s="1"/>
  <c r="AR20" i="15" s="1"/>
  <c r="AR21" i="15" s="1"/>
  <c r="AR22" i="15" s="1"/>
  <c r="AR23" i="15" s="1"/>
  <c r="AR7" i="15"/>
  <c r="AR6" i="15"/>
  <c r="AR6" i="31"/>
  <c r="AT6" i="31" s="1"/>
  <c r="U58" i="17"/>
  <c r="U59" i="17"/>
  <c r="U60" i="17"/>
  <c r="U61" i="17"/>
  <c r="U62" i="17"/>
  <c r="U63" i="17"/>
  <c r="U64" i="17"/>
  <c r="U65" i="17"/>
  <c r="U66" i="17"/>
  <c r="U67" i="17"/>
  <c r="U68" i="17"/>
  <c r="U69" i="17"/>
  <c r="U70" i="17"/>
  <c r="U71" i="17"/>
  <c r="U57" i="17"/>
  <c r="U57" i="18"/>
  <c r="AT6" i="17"/>
  <c r="AT7" i="17"/>
  <c r="AT8" i="17"/>
  <c r="AT9" i="17"/>
  <c r="AT10" i="17"/>
  <c r="AT11" i="17"/>
  <c r="AT12" i="17"/>
  <c r="AT13" i="17"/>
  <c r="AT14" i="17"/>
  <c r="AT15" i="17"/>
  <c r="AT16" i="17"/>
  <c r="AT17" i="17"/>
  <c r="AT18" i="17"/>
  <c r="AT19" i="17"/>
  <c r="AT20" i="17"/>
  <c r="AT21" i="17"/>
  <c r="AT22" i="17"/>
  <c r="AT23" i="17"/>
  <c r="AT24" i="17"/>
  <c r="AT5" i="17"/>
  <c r="AR6" i="17"/>
  <c r="AR7" i="17" s="1"/>
  <c r="AR8" i="17" s="1"/>
  <c r="AR9" i="17" s="1"/>
  <c r="AR10" i="17" s="1"/>
  <c r="AR11" i="17" s="1"/>
  <c r="AR12" i="17" s="1"/>
  <c r="AR13" i="17" s="1"/>
  <c r="AR14" i="17" s="1"/>
  <c r="AR15" i="17" s="1"/>
  <c r="AR16" i="17" s="1"/>
  <c r="AR17" i="17" s="1"/>
  <c r="AR18" i="17" s="1"/>
  <c r="AR19" i="17" s="1"/>
  <c r="AR20" i="17" s="1"/>
  <c r="AR21" i="17" s="1"/>
  <c r="AR22" i="17" s="1"/>
  <c r="AR23" i="17" s="1"/>
  <c r="AT5" i="18"/>
  <c r="AR6" i="18"/>
  <c r="AT6" i="18"/>
  <c r="AR7" i="18"/>
  <c r="AR8" i="18" s="1"/>
  <c r="U76" i="18"/>
  <c r="V76" i="18" s="1"/>
  <c r="U75" i="18"/>
  <c r="V75" i="18" s="1"/>
  <c r="U74" i="18"/>
  <c r="V74" i="18" s="1"/>
  <c r="U73" i="18"/>
  <c r="V73" i="18" s="1"/>
  <c r="U72" i="18"/>
  <c r="V72" i="18" s="1"/>
  <c r="U71" i="18"/>
  <c r="V71" i="18" s="1"/>
  <c r="U70" i="18"/>
  <c r="V70" i="18" s="1"/>
  <c r="U69" i="18"/>
  <c r="V69" i="18" s="1"/>
  <c r="U68" i="18"/>
  <c r="V68" i="18" s="1"/>
  <c r="U67" i="18"/>
  <c r="V67" i="18" s="1"/>
  <c r="U66" i="18"/>
  <c r="V66" i="18" s="1"/>
  <c r="U65" i="18"/>
  <c r="V65" i="18" s="1"/>
  <c r="U64" i="18"/>
  <c r="V64" i="18" s="1"/>
  <c r="U63" i="18"/>
  <c r="V63" i="18" s="1"/>
  <c r="U62" i="18"/>
  <c r="V62" i="18" s="1"/>
  <c r="U61" i="18"/>
  <c r="V61" i="18" s="1"/>
  <c r="U60" i="18"/>
  <c r="V60" i="18" s="1"/>
  <c r="U59" i="18"/>
  <c r="V59" i="18" s="1"/>
  <c r="U58" i="18"/>
  <c r="V58" i="18" s="1"/>
  <c r="AR7" i="31" l="1"/>
  <c r="N5" i="15"/>
  <c r="N52" i="15"/>
  <c r="N60" i="15"/>
  <c r="N47" i="15"/>
  <c r="N50" i="15"/>
  <c r="N58" i="15"/>
  <c r="N62" i="15"/>
  <c r="N45" i="15"/>
  <c r="N51" i="15"/>
  <c r="N54" i="15"/>
  <c r="N59" i="15"/>
  <c r="N55" i="15"/>
  <c r="N63" i="15"/>
  <c r="N56" i="15"/>
  <c r="N64" i="15"/>
  <c r="N46" i="15"/>
  <c r="N49" i="15"/>
  <c r="N57" i="15"/>
  <c r="N53" i="15"/>
  <c r="N61" i="15"/>
  <c r="N48" i="15"/>
  <c r="J48" i="15"/>
  <c r="I47" i="15"/>
  <c r="S47" i="15" s="1"/>
  <c r="O78" i="18"/>
  <c r="V57" i="18"/>
  <c r="U78" i="18"/>
  <c r="U79" i="18" s="1"/>
  <c r="U72" i="17"/>
  <c r="Y74" i="17"/>
  <c r="U133" i="31"/>
  <c r="U135" i="31" s="1"/>
  <c r="AT10" i="8"/>
  <c r="AT17" i="8"/>
  <c r="AT9" i="8"/>
  <c r="AT8" i="8"/>
  <c r="AT16" i="8"/>
  <c r="AT15" i="8"/>
  <c r="AT7" i="8"/>
  <c r="AT6" i="8"/>
  <c r="AT13" i="8"/>
  <c r="AT12" i="8"/>
  <c r="AT18" i="8"/>
  <c r="AT22" i="8"/>
  <c r="AT14" i="8"/>
  <c r="AT21" i="8"/>
  <c r="AT20" i="8"/>
  <c r="AT19" i="8"/>
  <c r="AT11" i="8"/>
  <c r="N4" i="15"/>
  <c r="U137" i="15"/>
  <c r="V137" i="15" s="1"/>
  <c r="AV22" i="15"/>
  <c r="AT8" i="18"/>
  <c r="AR9" i="18"/>
  <c r="AT7" i="18"/>
  <c r="AT7" i="31" l="1"/>
  <c r="AR8" i="31"/>
  <c r="Q46" i="15"/>
  <c r="P46" i="15"/>
  <c r="P45" i="15"/>
  <c r="Q45" i="15"/>
  <c r="P64" i="15"/>
  <c r="Q64" i="15"/>
  <c r="Q62" i="15"/>
  <c r="P62" i="15"/>
  <c r="P56" i="15"/>
  <c r="Q56" i="15"/>
  <c r="P58" i="15"/>
  <c r="Q58" i="15"/>
  <c r="P48" i="15"/>
  <c r="Q48" i="15"/>
  <c r="Q63" i="15"/>
  <c r="P63" i="15"/>
  <c r="P50" i="15"/>
  <c r="Q50" i="15"/>
  <c r="P61" i="15"/>
  <c r="Q61" i="15"/>
  <c r="Q55" i="15"/>
  <c r="P55" i="15"/>
  <c r="P47" i="15"/>
  <c r="Q47" i="15"/>
  <c r="P53" i="15"/>
  <c r="Q53" i="15"/>
  <c r="P59" i="15"/>
  <c r="Q59" i="15"/>
  <c r="P60" i="15"/>
  <c r="Q60" i="15"/>
  <c r="Q57" i="15"/>
  <c r="P57" i="15"/>
  <c r="P54" i="15"/>
  <c r="Q54" i="15"/>
  <c r="Q52" i="15"/>
  <c r="P52" i="15"/>
  <c r="Q49" i="15"/>
  <c r="P49" i="15"/>
  <c r="P51" i="15"/>
  <c r="Q51" i="15"/>
  <c r="J49" i="15"/>
  <c r="I48" i="15"/>
  <c r="S48" i="15" s="1"/>
  <c r="AT9" i="18"/>
  <c r="AR10" i="18"/>
  <c r="AR9" i="31" l="1"/>
  <c r="AT8" i="31"/>
  <c r="I49" i="15"/>
  <c r="S49" i="15" s="1"/>
  <c r="J50" i="15"/>
  <c r="AT10" i="18"/>
  <c r="AR11" i="18"/>
  <c r="AR10" i="31" l="1"/>
  <c r="AT9" i="31"/>
  <c r="I50" i="15"/>
  <c r="S50" i="15" s="1"/>
  <c r="J51" i="15"/>
  <c r="AT11" i="18"/>
  <c r="AR12" i="18"/>
  <c r="AR11" i="31" l="1"/>
  <c r="AT10" i="31"/>
  <c r="J52" i="15"/>
  <c r="I51" i="15"/>
  <c r="S51" i="15" s="1"/>
  <c r="AT12" i="18"/>
  <c r="AR12" i="31" l="1"/>
  <c r="AT11" i="31"/>
  <c r="I52" i="15"/>
  <c r="S52" i="15" s="1"/>
  <c r="J53" i="15"/>
  <c r="AT13" i="18"/>
  <c r="AR13" i="31" l="1"/>
  <c r="AT12" i="31"/>
  <c r="I53" i="15"/>
  <c r="S53" i="15" s="1"/>
  <c r="J54" i="15"/>
  <c r="AT14" i="18"/>
  <c r="AR15" i="18"/>
  <c r="AR14" i="31" l="1"/>
  <c r="AT13" i="31"/>
  <c r="I54" i="15"/>
  <c r="S54" i="15" s="1"/>
  <c r="J55" i="15"/>
  <c r="AR16" i="18"/>
  <c r="AT15" i="18"/>
  <c r="AR15" i="31" l="1"/>
  <c r="AT14" i="31"/>
  <c r="J56" i="15"/>
  <c r="I55" i="15"/>
  <c r="S55" i="15" s="1"/>
  <c r="AT16" i="18"/>
  <c r="AR17" i="18"/>
  <c r="AR16" i="31" l="1"/>
  <c r="AT15" i="31"/>
  <c r="J57" i="15"/>
  <c r="I56" i="15"/>
  <c r="S56" i="15" s="1"/>
  <c r="AT17" i="18"/>
  <c r="AR18" i="18"/>
  <c r="AR17" i="31" l="1"/>
  <c r="AT16" i="31"/>
  <c r="I57" i="15"/>
  <c r="S57" i="15" s="1"/>
  <c r="J58" i="15"/>
  <c r="AT18" i="18"/>
  <c r="AR19" i="18"/>
  <c r="AR18" i="31" l="1"/>
  <c r="AT17" i="31"/>
  <c r="I58" i="15"/>
  <c r="S58" i="15" s="1"/>
  <c r="J59" i="15"/>
  <c r="AT19" i="18"/>
  <c r="AR20" i="18"/>
  <c r="AR19" i="31" l="1"/>
  <c r="AT18" i="31"/>
  <c r="J60" i="15"/>
  <c r="I59" i="15"/>
  <c r="S59" i="15" s="1"/>
  <c r="AT20" i="18"/>
  <c r="AR21" i="18"/>
  <c r="AR20" i="31" l="1"/>
  <c r="AT19" i="31"/>
  <c r="I60" i="15"/>
  <c r="S60" i="15" s="1"/>
  <c r="J61" i="15"/>
  <c r="AT21" i="18"/>
  <c r="AR22" i="18"/>
  <c r="AR21" i="31" l="1"/>
  <c r="AT20" i="31"/>
  <c r="I61" i="15"/>
  <c r="S61" i="15" s="1"/>
  <c r="J62" i="15"/>
  <c r="AT22" i="18"/>
  <c r="AR23" i="18"/>
  <c r="AT23" i="18" s="1"/>
  <c r="AR22" i="31" l="1"/>
  <c r="AT21" i="31"/>
  <c r="I62" i="15"/>
  <c r="S62" i="15" s="1"/>
  <c r="J63" i="15"/>
  <c r="M61" i="14"/>
  <c r="AR23" i="31" l="1"/>
  <c r="AT23" i="31" s="1"/>
  <c r="AT22" i="31"/>
  <c r="J64" i="15"/>
  <c r="I63" i="15"/>
  <c r="S63" i="15" s="1"/>
  <c r="M61" i="8"/>
  <c r="C17" i="8"/>
  <c r="C16" i="8"/>
  <c r="E11" i="18"/>
  <c r="E11" i="14"/>
  <c r="W94" i="17"/>
  <c r="X94" i="17" s="1"/>
  <c r="W90" i="17"/>
  <c r="X90" i="17" s="1"/>
  <c r="W92" i="17"/>
  <c r="X92" i="17" s="1"/>
  <c r="W77" i="17"/>
  <c r="X77" i="17" s="1"/>
  <c r="W78" i="17"/>
  <c r="X78" i="17" s="1"/>
  <c r="W79" i="17"/>
  <c r="X79" i="17" s="1"/>
  <c r="W80" i="17"/>
  <c r="X80" i="17" s="1"/>
  <c r="W81" i="17"/>
  <c r="X81" i="17" s="1"/>
  <c r="W82" i="17"/>
  <c r="X82" i="17" s="1"/>
  <c r="W83" i="17"/>
  <c r="X83" i="17" s="1"/>
  <c r="W84" i="17"/>
  <c r="X84" i="17" s="1"/>
  <c r="W85" i="17"/>
  <c r="X85" i="17" s="1"/>
  <c r="W86" i="17"/>
  <c r="X86" i="17" s="1"/>
  <c r="W87" i="17"/>
  <c r="X87" i="17" s="1"/>
  <c r="W88" i="17"/>
  <c r="X88" i="17" s="1"/>
  <c r="W89" i="17"/>
  <c r="X89" i="17" s="1"/>
  <c r="W91" i="17"/>
  <c r="X91" i="17" s="1"/>
  <c r="W93" i="17"/>
  <c r="X93" i="17" s="1"/>
  <c r="W95" i="17"/>
  <c r="X95" i="17" s="1"/>
  <c r="W96" i="17"/>
  <c r="X96" i="17" s="1"/>
  <c r="E11" i="17"/>
  <c r="E11" i="8"/>
  <c r="I64" i="15" l="1"/>
  <c r="S64" i="15" s="1"/>
  <c r="N64" i="31"/>
  <c r="Q64" i="31" s="1"/>
  <c r="N63" i="31"/>
  <c r="Q63" i="31" s="1"/>
  <c r="N62" i="31"/>
  <c r="Q62" i="31" s="1"/>
  <c r="N61" i="31"/>
  <c r="Q61" i="31" s="1"/>
  <c r="N60" i="31"/>
  <c r="Q60" i="31" s="1"/>
  <c r="N59" i="31"/>
  <c r="Q59" i="31" s="1"/>
  <c r="N58" i="31"/>
  <c r="Q58" i="31" s="1"/>
  <c r="N57" i="31"/>
  <c r="Q57" i="31" s="1"/>
  <c r="N56" i="31"/>
  <c r="Q56" i="31" s="1"/>
  <c r="N55" i="31"/>
  <c r="Q55" i="31" s="1"/>
  <c r="N54" i="31"/>
  <c r="N53" i="31"/>
  <c r="Q53" i="31" s="1"/>
  <c r="N52" i="31"/>
  <c r="Q52" i="31" s="1"/>
  <c r="N51" i="31"/>
  <c r="Q51" i="31" s="1"/>
  <c r="N50" i="31"/>
  <c r="Q50" i="31" s="1"/>
  <c r="N49" i="31"/>
  <c r="Q49" i="31" s="1"/>
  <c r="N48" i="31"/>
  <c r="Q48" i="31" s="1"/>
  <c r="N47" i="31"/>
  <c r="Q47" i="31" s="1"/>
  <c r="N46" i="31"/>
  <c r="N45" i="31"/>
  <c r="N44" i="31"/>
  <c r="N43" i="31"/>
  <c r="Q43" i="31" s="1"/>
  <c r="N42" i="31"/>
  <c r="Q42" i="31" s="1"/>
  <c r="N41" i="31"/>
  <c r="Q41" i="31" s="1"/>
  <c r="N40" i="31"/>
  <c r="Q40" i="31" s="1"/>
  <c r="N39" i="31"/>
  <c r="N38" i="31"/>
  <c r="N37" i="31"/>
  <c r="Q37" i="31" s="1"/>
  <c r="N36" i="31"/>
  <c r="Q36" i="31" s="1"/>
  <c r="N35" i="31"/>
  <c r="Q35" i="31" s="1"/>
  <c r="N34" i="31"/>
  <c r="Q34" i="31" s="1"/>
  <c r="N33" i="31"/>
  <c r="Q33" i="31" s="1"/>
  <c r="N32" i="31"/>
  <c r="Q32" i="31" s="1"/>
  <c r="N31" i="31"/>
  <c r="N30" i="31"/>
  <c r="N29" i="31"/>
  <c r="N28" i="31"/>
  <c r="Q28" i="31" s="1"/>
  <c r="N27" i="31"/>
  <c r="Q27" i="31" s="1"/>
  <c r="N26" i="31"/>
  <c r="C26" i="31"/>
  <c r="N25" i="31"/>
  <c r="N24" i="31"/>
  <c r="N23" i="31"/>
  <c r="Q23" i="31" s="1"/>
  <c r="N22" i="31"/>
  <c r="Q22" i="31" s="1"/>
  <c r="N21" i="31"/>
  <c r="N20" i="31"/>
  <c r="Q20" i="31" s="1"/>
  <c r="N19" i="31"/>
  <c r="N18" i="31"/>
  <c r="N17" i="31"/>
  <c r="Q17" i="31" s="1"/>
  <c r="N16" i="31"/>
  <c r="Q16" i="31" s="1"/>
  <c r="N15" i="31"/>
  <c r="Q15" i="31" s="1"/>
  <c r="N14" i="31"/>
  <c r="N13" i="31"/>
  <c r="N12" i="31"/>
  <c r="Q12" i="31" s="1"/>
  <c r="N11" i="31"/>
  <c r="N10" i="31"/>
  <c r="N9" i="31"/>
  <c r="Q9" i="31" s="1"/>
  <c r="N8" i="31"/>
  <c r="Q8" i="31" s="1"/>
  <c r="N7" i="31"/>
  <c r="Q7" i="31" s="1"/>
  <c r="N6" i="31"/>
  <c r="Q6" i="31" s="1"/>
  <c r="U5" i="31"/>
  <c r="N5" i="31"/>
  <c r="J5" i="31"/>
  <c r="X4" i="31"/>
  <c r="N4" i="31"/>
  <c r="K4" i="31"/>
  <c r="M4" i="31" s="1"/>
  <c r="P19" i="31" l="1"/>
  <c r="Q19" i="31"/>
  <c r="AJ5" i="31"/>
  <c r="Q5" i="31"/>
  <c r="P13" i="31"/>
  <c r="Q13" i="31"/>
  <c r="P38" i="31"/>
  <c r="Q38" i="31"/>
  <c r="P24" i="31"/>
  <c r="Q24" i="31"/>
  <c r="P11" i="31"/>
  <c r="Q11" i="31"/>
  <c r="P26" i="31"/>
  <c r="Q26" i="31"/>
  <c r="P29" i="31"/>
  <c r="Q29" i="31"/>
  <c r="P21" i="31"/>
  <c r="Q21" i="31"/>
  <c r="P44" i="31"/>
  <c r="Q44" i="31"/>
  <c r="P14" i="31"/>
  <c r="Q14" i="31"/>
  <c r="P45" i="31"/>
  <c r="Q45" i="31"/>
  <c r="P30" i="31"/>
  <c r="Q30" i="31"/>
  <c r="P46" i="31"/>
  <c r="Q46" i="31"/>
  <c r="P54" i="31"/>
  <c r="Q54" i="31"/>
  <c r="P31" i="31"/>
  <c r="Q31" i="31"/>
  <c r="P39" i="31"/>
  <c r="Q39" i="31"/>
  <c r="P25" i="31"/>
  <c r="Q25" i="31"/>
  <c r="P10" i="31"/>
  <c r="Q10" i="31"/>
  <c r="P18" i="31"/>
  <c r="Q18" i="31"/>
  <c r="L4" i="31"/>
  <c r="AF4" i="31" s="1"/>
  <c r="P52" i="31"/>
  <c r="P59" i="31"/>
  <c r="P27" i="31"/>
  <c r="P23" i="31"/>
  <c r="P47" i="31"/>
  <c r="P22" i="31"/>
  <c r="P53" i="31"/>
  <c r="P41" i="31"/>
  <c r="P9" i="31"/>
  <c r="P36" i="31"/>
  <c r="P35" i="31"/>
  <c r="P60" i="31"/>
  <c r="P15" i="31"/>
  <c r="P7" i="31"/>
  <c r="P12" i="31"/>
  <c r="P20" i="31"/>
  <c r="AG4" i="31"/>
  <c r="P5" i="31"/>
  <c r="P17" i="31"/>
  <c r="P43" i="31"/>
  <c r="P62" i="31"/>
  <c r="Q4" i="31"/>
  <c r="AC4" i="31" s="1"/>
  <c r="AM4" i="31" s="1"/>
  <c r="P4" i="31"/>
  <c r="AB4" i="31" s="1"/>
  <c r="Z5" i="31" s="1"/>
  <c r="P49" i="31"/>
  <c r="P6" i="31"/>
  <c r="P28" i="31"/>
  <c r="P37" i="31"/>
  <c r="P40" i="31"/>
  <c r="P55" i="31"/>
  <c r="P48" i="31"/>
  <c r="P16" i="31"/>
  <c r="AE4" i="31"/>
  <c r="P57" i="31"/>
  <c r="P8" i="31"/>
  <c r="J6" i="31"/>
  <c r="I5" i="31"/>
  <c r="S5" i="31" s="1"/>
  <c r="V5" i="31" s="1"/>
  <c r="P32" i="31"/>
  <c r="P33" i="31"/>
  <c r="P34" i="31"/>
  <c r="P42" i="31"/>
  <c r="P51" i="31"/>
  <c r="P58" i="31"/>
  <c r="P63" i="31"/>
  <c r="P50" i="31"/>
  <c r="P56" i="31"/>
  <c r="P61" i="31"/>
  <c r="P64" i="31"/>
  <c r="J7" i="31" l="1"/>
  <c r="I6" i="31"/>
  <c r="S6" i="31" s="1"/>
  <c r="AA5" i="31"/>
  <c r="AJ4" i="31"/>
  <c r="AI4" i="31"/>
  <c r="X5" i="31" l="1"/>
  <c r="AC5" i="31" s="1"/>
  <c r="AA6" i="31" s="1"/>
  <c r="AH5" i="31"/>
  <c r="AS5" i="31" s="1"/>
  <c r="J8" i="31"/>
  <c r="I7" i="31"/>
  <c r="S7" i="31" s="1"/>
  <c r="AL4" i="31"/>
  <c r="AN4" i="31" s="1"/>
  <c r="AE5" i="31" l="1"/>
  <c r="AB5" i="31"/>
  <c r="Z6" i="31" s="1"/>
  <c r="AF5" i="31"/>
  <c r="U6" i="31"/>
  <c r="AG5" i="31"/>
  <c r="AM5" i="31"/>
  <c r="AJ6" i="31"/>
  <c r="J9" i="31"/>
  <c r="I8" i="31"/>
  <c r="S8" i="31" s="1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12" i="15"/>
  <c r="U5" i="15"/>
  <c r="AK5" i="31" l="1"/>
  <c r="V6" i="31"/>
  <c r="AH6" i="31" s="1"/>
  <c r="AS6" i="31" s="1"/>
  <c r="AI5" i="31"/>
  <c r="I9" i="31"/>
  <c r="S9" i="31" s="1"/>
  <c r="J10" i="31"/>
  <c r="P77" i="17"/>
  <c r="Q77" i="17" s="1"/>
  <c r="R77" i="17" s="1"/>
  <c r="P78" i="17"/>
  <c r="Q78" i="17" s="1"/>
  <c r="R78" i="17" s="1"/>
  <c r="P79" i="17"/>
  <c r="Q79" i="17" s="1"/>
  <c r="R79" i="17" s="1"/>
  <c r="P80" i="17"/>
  <c r="P81" i="17"/>
  <c r="P82" i="17"/>
  <c r="Q82" i="17" s="1"/>
  <c r="P83" i="17"/>
  <c r="P84" i="17"/>
  <c r="Q84" i="17" s="1"/>
  <c r="R84" i="17" s="1"/>
  <c r="P85" i="17"/>
  <c r="Q85" i="17" s="1"/>
  <c r="P86" i="17"/>
  <c r="Q86" i="17" s="1"/>
  <c r="P87" i="17"/>
  <c r="P88" i="17"/>
  <c r="P89" i="17"/>
  <c r="Q89" i="17" s="1"/>
  <c r="R89" i="17" s="1"/>
  <c r="P90" i="17"/>
  <c r="P91" i="17"/>
  <c r="P92" i="17"/>
  <c r="P93" i="17"/>
  <c r="Q93" i="17" s="1"/>
  <c r="R93" i="17" s="1"/>
  <c r="P94" i="17"/>
  <c r="Q94" i="17" s="1"/>
  <c r="P95" i="17"/>
  <c r="Q95" i="17" s="1"/>
  <c r="R95" i="17" s="1"/>
  <c r="P96" i="17"/>
  <c r="Q96" i="17" s="1"/>
  <c r="R96" i="17" s="1"/>
  <c r="M58" i="14"/>
  <c r="M59" i="14"/>
  <c r="M60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57" i="14"/>
  <c r="M58" i="8"/>
  <c r="M59" i="8"/>
  <c r="M60" i="8"/>
  <c r="M62" i="8"/>
  <c r="M63" i="8"/>
  <c r="M64" i="8"/>
  <c r="M65" i="8"/>
  <c r="M66" i="8"/>
  <c r="M67" i="8"/>
  <c r="M68" i="8"/>
  <c r="M69" i="8"/>
  <c r="M70" i="8"/>
  <c r="M71" i="8"/>
  <c r="M57" i="8"/>
  <c r="J40" i="15"/>
  <c r="I40" i="15" s="1"/>
  <c r="S40" i="15" s="1"/>
  <c r="J41" i="15"/>
  <c r="I41" i="15" s="1"/>
  <c r="S41" i="15" s="1"/>
  <c r="J42" i="15"/>
  <c r="I42" i="15" s="1"/>
  <c r="S42" i="15" s="1"/>
  <c r="O44" i="14"/>
  <c r="N44" i="14" s="1"/>
  <c r="L44" i="14"/>
  <c r="M44" i="14" s="1"/>
  <c r="C26" i="8"/>
  <c r="C26" i="18"/>
  <c r="N24" i="18"/>
  <c r="P24" i="18" s="1"/>
  <c r="K24" i="18"/>
  <c r="N23" i="18"/>
  <c r="Q23" i="18" s="1"/>
  <c r="K23" i="18"/>
  <c r="N22" i="18"/>
  <c r="P22" i="18" s="1"/>
  <c r="K22" i="18"/>
  <c r="N21" i="18"/>
  <c r="Q21" i="18" s="1"/>
  <c r="K21" i="18"/>
  <c r="N20" i="18"/>
  <c r="K20" i="18"/>
  <c r="N19" i="18"/>
  <c r="P19" i="18" s="1"/>
  <c r="K19" i="18"/>
  <c r="N18" i="18"/>
  <c r="K18" i="18"/>
  <c r="N17" i="18"/>
  <c r="P17" i="18" s="1"/>
  <c r="K17" i="18"/>
  <c r="N16" i="18"/>
  <c r="P16" i="18" s="1"/>
  <c r="K16" i="18"/>
  <c r="L16" i="18" s="1"/>
  <c r="N15" i="18"/>
  <c r="P15" i="18" s="1"/>
  <c r="K15" i="18"/>
  <c r="L15" i="18" s="1"/>
  <c r="N14" i="18"/>
  <c r="P14" i="18" s="1"/>
  <c r="K14" i="18"/>
  <c r="N13" i="18"/>
  <c r="P13" i="18" s="1"/>
  <c r="K13" i="18"/>
  <c r="L13" i="18" s="1"/>
  <c r="N12" i="18"/>
  <c r="P12" i="18" s="1"/>
  <c r="K12" i="18"/>
  <c r="L12" i="18" s="1"/>
  <c r="N11" i="18"/>
  <c r="P11" i="18" s="1"/>
  <c r="K11" i="18"/>
  <c r="L11" i="18" s="1"/>
  <c r="N10" i="18"/>
  <c r="P10" i="18" s="1"/>
  <c r="K10" i="18"/>
  <c r="L10" i="18" s="1"/>
  <c r="N9" i="18"/>
  <c r="P9" i="18" s="1"/>
  <c r="K9" i="18"/>
  <c r="L9" i="18" s="1"/>
  <c r="N8" i="18"/>
  <c r="P8" i="18" s="1"/>
  <c r="K8" i="18"/>
  <c r="N7" i="18"/>
  <c r="P7" i="18" s="1"/>
  <c r="K7" i="18"/>
  <c r="L7" i="18" s="1"/>
  <c r="N6" i="18"/>
  <c r="Q6" i="18" s="1"/>
  <c r="K6" i="18"/>
  <c r="L6" i="18" s="1"/>
  <c r="N5" i="18"/>
  <c r="P5" i="18" s="1"/>
  <c r="K5" i="18"/>
  <c r="J5" i="18"/>
  <c r="I5" i="18" s="1"/>
  <c r="S5" i="18" s="1"/>
  <c r="X4" i="18"/>
  <c r="U5" i="18" s="1"/>
  <c r="N4" i="18"/>
  <c r="K4" i="18"/>
  <c r="M4" i="18" s="1"/>
  <c r="N24" i="17"/>
  <c r="P24" i="17" s="1"/>
  <c r="K24" i="17"/>
  <c r="L24" i="17" s="1"/>
  <c r="N23" i="17"/>
  <c r="P23" i="17" s="1"/>
  <c r="L23" i="17"/>
  <c r="N22" i="17"/>
  <c r="P22" i="17" s="1"/>
  <c r="K22" i="17"/>
  <c r="L22" i="17" s="1"/>
  <c r="N21" i="17"/>
  <c r="P21" i="17" s="1"/>
  <c r="L21" i="17"/>
  <c r="N20" i="17"/>
  <c r="K20" i="17"/>
  <c r="N19" i="17"/>
  <c r="K19" i="17"/>
  <c r="L19" i="17" s="1"/>
  <c r="N18" i="17"/>
  <c r="K18" i="17"/>
  <c r="N17" i="17"/>
  <c r="K17" i="17"/>
  <c r="L17" i="17" s="1"/>
  <c r="N16" i="17"/>
  <c r="Q16" i="17" s="1"/>
  <c r="K16" i="17"/>
  <c r="L16" i="17" s="1"/>
  <c r="N15" i="17"/>
  <c r="Q15" i="17" s="1"/>
  <c r="K15" i="17"/>
  <c r="L15" i="17" s="1"/>
  <c r="N14" i="17"/>
  <c r="P14" i="17" s="1"/>
  <c r="K14" i="17"/>
  <c r="L14" i="17" s="1"/>
  <c r="N13" i="17"/>
  <c r="Q13" i="17" s="1"/>
  <c r="K13" i="17"/>
  <c r="L13" i="17" s="1"/>
  <c r="N12" i="17"/>
  <c r="P12" i="17" s="1"/>
  <c r="K12" i="17"/>
  <c r="L12" i="17" s="1"/>
  <c r="N11" i="17"/>
  <c r="Q11" i="17" s="1"/>
  <c r="K11" i="17"/>
  <c r="L11" i="17" s="1"/>
  <c r="N10" i="17"/>
  <c r="P10" i="17" s="1"/>
  <c r="K10" i="17"/>
  <c r="L10" i="17" s="1"/>
  <c r="N9" i="17"/>
  <c r="Q9" i="17" s="1"/>
  <c r="K9" i="17"/>
  <c r="L9" i="17" s="1"/>
  <c r="N8" i="17"/>
  <c r="P8" i="17" s="1"/>
  <c r="K8" i="17"/>
  <c r="L8" i="17" s="1"/>
  <c r="N7" i="17"/>
  <c r="Q7" i="17" s="1"/>
  <c r="K7" i="17"/>
  <c r="L7" i="17" s="1"/>
  <c r="J7" i="17"/>
  <c r="I7" i="17" s="1"/>
  <c r="S7" i="17" s="1"/>
  <c r="N6" i="17"/>
  <c r="P6" i="17" s="1"/>
  <c r="K6" i="17"/>
  <c r="L6" i="17" s="1"/>
  <c r="J6" i="17"/>
  <c r="I6" i="17"/>
  <c r="S6" i="17" s="1"/>
  <c r="U5" i="17"/>
  <c r="N5" i="17"/>
  <c r="AJ5" i="17" s="1"/>
  <c r="K5" i="17"/>
  <c r="J5" i="17"/>
  <c r="I5" i="17"/>
  <c r="S5" i="17" s="1"/>
  <c r="V5" i="17" s="1"/>
  <c r="X4" i="17"/>
  <c r="N4" i="17"/>
  <c r="P4" i="17" s="1"/>
  <c r="AB4" i="17" s="1"/>
  <c r="K4" i="17"/>
  <c r="M4" i="17" s="1"/>
  <c r="P25" i="15"/>
  <c r="P26" i="15"/>
  <c r="P27" i="15"/>
  <c r="P28" i="15"/>
  <c r="P29" i="15"/>
  <c r="Q30" i="15"/>
  <c r="Q31" i="15"/>
  <c r="Q32" i="15"/>
  <c r="Q33" i="15"/>
  <c r="Q34" i="15"/>
  <c r="P35" i="15"/>
  <c r="P36" i="15"/>
  <c r="P37" i="15"/>
  <c r="Q38" i="15"/>
  <c r="Q39" i="15"/>
  <c r="P40" i="15"/>
  <c r="P41" i="15"/>
  <c r="P42" i="15"/>
  <c r="P43" i="15"/>
  <c r="P44" i="15"/>
  <c r="C26" i="15"/>
  <c r="P24" i="15"/>
  <c r="P19" i="15"/>
  <c r="P17" i="15"/>
  <c r="Q16" i="15"/>
  <c r="P15" i="15"/>
  <c r="P14" i="15"/>
  <c r="P13" i="15"/>
  <c r="Q12" i="15"/>
  <c r="N11" i="15"/>
  <c r="P11" i="15" s="1"/>
  <c r="N10" i="15"/>
  <c r="P10" i="15" s="1"/>
  <c r="N9" i="15"/>
  <c r="P9" i="15" s="1"/>
  <c r="N8" i="15"/>
  <c r="Q8" i="15" s="1"/>
  <c r="N7" i="15"/>
  <c r="P7" i="15" s="1"/>
  <c r="N6" i="15"/>
  <c r="J6" i="15"/>
  <c r="J7" i="15" s="1"/>
  <c r="J5" i="15"/>
  <c r="I5" i="15" s="1"/>
  <c r="S5" i="15" s="1"/>
  <c r="X4" i="15"/>
  <c r="K4" i="15"/>
  <c r="C26" i="14"/>
  <c r="N24" i="14"/>
  <c r="K24" i="14"/>
  <c r="N23" i="14"/>
  <c r="K23" i="14"/>
  <c r="N22" i="14"/>
  <c r="K22" i="14"/>
  <c r="N21" i="14"/>
  <c r="K21" i="14"/>
  <c r="C17" i="14"/>
  <c r="N20" i="14"/>
  <c r="P20" i="14" s="1"/>
  <c r="K20" i="14"/>
  <c r="N19" i="14"/>
  <c r="K19" i="14"/>
  <c r="N18" i="14"/>
  <c r="P18" i="14" s="1"/>
  <c r="K18" i="14"/>
  <c r="N17" i="14"/>
  <c r="K17" i="14"/>
  <c r="L17" i="14" s="1"/>
  <c r="N16" i="14"/>
  <c r="K16" i="14"/>
  <c r="N15" i="14"/>
  <c r="P15" i="14" s="1"/>
  <c r="K15" i="14"/>
  <c r="N14" i="14"/>
  <c r="Q14" i="14" s="1"/>
  <c r="K14" i="14"/>
  <c r="N13" i="14"/>
  <c r="P13" i="14" s="1"/>
  <c r="K13" i="14"/>
  <c r="L13" i="14" s="1"/>
  <c r="N12" i="14"/>
  <c r="Q12" i="14" s="1"/>
  <c r="K12" i="14"/>
  <c r="N11" i="14"/>
  <c r="Q11" i="14" s="1"/>
  <c r="K11" i="14"/>
  <c r="N10" i="14"/>
  <c r="Q10" i="14" s="1"/>
  <c r="K10" i="14"/>
  <c r="N9" i="14"/>
  <c r="Q9" i="14" s="1"/>
  <c r="K9" i="14"/>
  <c r="N8" i="14"/>
  <c r="P8" i="14" s="1"/>
  <c r="K8" i="14"/>
  <c r="N7" i="14"/>
  <c r="Q7" i="14" s="1"/>
  <c r="K7" i="14"/>
  <c r="N6" i="14"/>
  <c r="K6" i="14"/>
  <c r="N5" i="14"/>
  <c r="K5" i="14"/>
  <c r="J5" i="14"/>
  <c r="I5" i="14" s="1"/>
  <c r="S5" i="14" s="1"/>
  <c r="X4" i="14"/>
  <c r="U5" i="14" s="1"/>
  <c r="N4" i="14"/>
  <c r="K4" i="14"/>
  <c r="M4" i="14" s="1"/>
  <c r="AG4" i="14" s="1"/>
  <c r="N4" i="8"/>
  <c r="P4" i="8" s="1"/>
  <c r="N9" i="8"/>
  <c r="P9" i="8" s="1"/>
  <c r="K5" i="8"/>
  <c r="N15" i="8"/>
  <c r="N16" i="8"/>
  <c r="N17" i="8"/>
  <c r="N18" i="8"/>
  <c r="N19" i="8"/>
  <c r="N20" i="8"/>
  <c r="N21" i="8"/>
  <c r="N22" i="8"/>
  <c r="N23" i="8"/>
  <c r="N24" i="8"/>
  <c r="K15" i="8"/>
  <c r="L15" i="8" s="1"/>
  <c r="K16" i="8"/>
  <c r="K17" i="8"/>
  <c r="L17" i="8" s="1"/>
  <c r="K18" i="8"/>
  <c r="K19" i="8"/>
  <c r="K20" i="8"/>
  <c r="L20" i="8" s="1"/>
  <c r="K21" i="8"/>
  <c r="L21" i="8" s="1"/>
  <c r="K22" i="8"/>
  <c r="K23" i="8"/>
  <c r="L23" i="8" s="1"/>
  <c r="K24" i="8"/>
  <c r="L24" i="8" s="1"/>
  <c r="N14" i="8"/>
  <c r="Q14" i="8" s="1"/>
  <c r="K14" i="8"/>
  <c r="L14" i="8" s="1"/>
  <c r="N13" i="8"/>
  <c r="Q13" i="8" s="1"/>
  <c r="K13" i="8"/>
  <c r="L13" i="8" s="1"/>
  <c r="N12" i="8"/>
  <c r="P12" i="8" s="1"/>
  <c r="K12" i="8"/>
  <c r="L12" i="8" s="1"/>
  <c r="N11" i="8"/>
  <c r="Q11" i="8" s="1"/>
  <c r="K11" i="8"/>
  <c r="L11" i="8" s="1"/>
  <c r="N10" i="8"/>
  <c r="Q10" i="8" s="1"/>
  <c r="K10" i="8"/>
  <c r="L10" i="8" s="1"/>
  <c r="K9" i="8"/>
  <c r="L9" i="8" s="1"/>
  <c r="N8" i="8"/>
  <c r="P8" i="8" s="1"/>
  <c r="K8" i="8"/>
  <c r="L8" i="8" s="1"/>
  <c r="N7" i="8"/>
  <c r="Q7" i="8" s="1"/>
  <c r="K7" i="8"/>
  <c r="L7" i="8" s="1"/>
  <c r="N6" i="8"/>
  <c r="Q6" i="8" s="1"/>
  <c r="K6" i="8"/>
  <c r="L6" i="8" s="1"/>
  <c r="N5" i="8"/>
  <c r="Q5" i="8" s="1"/>
  <c r="J5" i="8"/>
  <c r="I5" i="8" s="1"/>
  <c r="S5" i="8" s="1"/>
  <c r="V5" i="8" s="1"/>
  <c r="X4" i="8"/>
  <c r="K4" i="8"/>
  <c r="U5" i="8"/>
  <c r="Q4" i="18" l="1"/>
  <c r="P4" i="18"/>
  <c r="AL5" i="31"/>
  <c r="AE4" i="8"/>
  <c r="AB4" i="8"/>
  <c r="Z5" i="8" s="1"/>
  <c r="J6" i="8"/>
  <c r="X6" i="31"/>
  <c r="AJ7" i="31" s="1"/>
  <c r="AH5" i="17"/>
  <c r="AC4" i="18"/>
  <c r="AA5" i="18" s="1"/>
  <c r="L17" i="18"/>
  <c r="L22" i="18"/>
  <c r="L19" i="18"/>
  <c r="L24" i="18"/>
  <c r="L14" i="18"/>
  <c r="L23" i="14"/>
  <c r="L20" i="14"/>
  <c r="L22" i="8"/>
  <c r="L19" i="8"/>
  <c r="L18" i="8"/>
  <c r="L16" i="8"/>
  <c r="R94" i="17"/>
  <c r="R85" i="17"/>
  <c r="Q83" i="17"/>
  <c r="R83" i="17" s="1"/>
  <c r="Q80" i="17"/>
  <c r="R80" i="17" s="1"/>
  <c r="Q92" i="17"/>
  <c r="R92" i="17" s="1"/>
  <c r="Q91" i="17"/>
  <c r="R91" i="17" s="1"/>
  <c r="Q90" i="17"/>
  <c r="R90" i="17" s="1"/>
  <c r="Q88" i="17"/>
  <c r="R88" i="17" s="1"/>
  <c r="Q87" i="17"/>
  <c r="R87" i="17" s="1"/>
  <c r="R86" i="17"/>
  <c r="R82" i="17"/>
  <c r="Q81" i="17"/>
  <c r="R81" i="17" s="1"/>
  <c r="P5" i="17"/>
  <c r="Q4" i="14"/>
  <c r="AC4" i="14" s="1"/>
  <c r="AM4" i="14" s="1"/>
  <c r="P4" i="14"/>
  <c r="AB4" i="14" s="1"/>
  <c r="I10" i="31"/>
  <c r="S10" i="31" s="1"/>
  <c r="J11" i="31"/>
  <c r="AE4" i="15"/>
  <c r="AE103" i="15" s="1"/>
  <c r="M4" i="15"/>
  <c r="AG4" i="15" s="1"/>
  <c r="Q4" i="15"/>
  <c r="AC4" i="15" s="1"/>
  <c r="P4" i="15"/>
  <c r="AB4" i="15" s="1"/>
  <c r="Z5" i="15" s="1"/>
  <c r="V5" i="15"/>
  <c r="Q25" i="15"/>
  <c r="P33" i="15"/>
  <c r="Q42" i="15"/>
  <c r="Q41" i="15"/>
  <c r="Q29" i="15"/>
  <c r="P34" i="15"/>
  <c r="Q26" i="15"/>
  <c r="P32" i="15"/>
  <c r="P38" i="15"/>
  <c r="Q40" i="15"/>
  <c r="P30" i="15"/>
  <c r="Q37" i="15"/>
  <c r="Q44" i="15"/>
  <c r="Q36" i="15"/>
  <c r="Q28" i="15"/>
  <c r="Q24" i="15"/>
  <c r="Q43" i="15"/>
  <c r="Q35" i="15"/>
  <c r="Q27" i="15"/>
  <c r="P39" i="15"/>
  <c r="P31" i="15"/>
  <c r="P8" i="15"/>
  <c r="Q14" i="15"/>
  <c r="P5" i="8"/>
  <c r="Q8" i="14"/>
  <c r="P11" i="14"/>
  <c r="P14" i="14"/>
  <c r="Q15" i="14"/>
  <c r="P9" i="17"/>
  <c r="Q14" i="17"/>
  <c r="Q4" i="17"/>
  <c r="AC4" i="17" s="1"/>
  <c r="AA5" i="17" s="1"/>
  <c r="P7" i="17"/>
  <c r="P13" i="17"/>
  <c r="Q22" i="17"/>
  <c r="Q10" i="17"/>
  <c r="AJ5" i="8"/>
  <c r="Q4" i="8"/>
  <c r="AC4" i="8" s="1"/>
  <c r="AM4" i="8" s="1"/>
  <c r="P10" i="8"/>
  <c r="P13" i="8"/>
  <c r="P6" i="8"/>
  <c r="P7" i="8"/>
  <c r="P11" i="8"/>
  <c r="Q8" i="8"/>
  <c r="Q12" i="8"/>
  <c r="Q9" i="8"/>
  <c r="J43" i="15"/>
  <c r="P10" i="14"/>
  <c r="L4" i="14"/>
  <c r="AF4" i="14" s="1"/>
  <c r="L16" i="14"/>
  <c r="AJ5" i="14"/>
  <c r="L20" i="18"/>
  <c r="P12" i="14"/>
  <c r="AG4" i="18"/>
  <c r="Q24" i="18"/>
  <c r="Q13" i="14"/>
  <c r="P7" i="14"/>
  <c r="P9" i="14"/>
  <c r="Q12" i="17"/>
  <c r="Q24" i="17"/>
  <c r="Q5" i="17"/>
  <c r="P11" i="17"/>
  <c r="P16" i="17"/>
  <c r="P15" i="17"/>
  <c r="Q8" i="17"/>
  <c r="P14" i="8"/>
  <c r="Q22" i="18"/>
  <c r="P6" i="18"/>
  <c r="Q5" i="18"/>
  <c r="Q19" i="18"/>
  <c r="P21" i="18"/>
  <c r="Q17" i="18"/>
  <c r="P23" i="18"/>
  <c r="Q8" i="18"/>
  <c r="Q10" i="18"/>
  <c r="Q12" i="18"/>
  <c r="AJ5" i="18"/>
  <c r="Q14" i="18"/>
  <c r="AE4" i="18"/>
  <c r="L4" i="18"/>
  <c r="AF4" i="18" s="1"/>
  <c r="V5" i="18"/>
  <c r="AH5" i="18" s="1"/>
  <c r="AB4" i="18"/>
  <c r="J6" i="18"/>
  <c r="Q16" i="18"/>
  <c r="P18" i="18"/>
  <c r="P20" i="18"/>
  <c r="Q18" i="18"/>
  <c r="Q20" i="18"/>
  <c r="L21" i="18"/>
  <c r="L23" i="18"/>
  <c r="Q7" i="18"/>
  <c r="Q9" i="18"/>
  <c r="Q11" i="18"/>
  <c r="Q13" i="18"/>
  <c r="Q15" i="18"/>
  <c r="L18" i="18"/>
  <c r="L20" i="17"/>
  <c r="M4" i="8"/>
  <c r="AG4" i="8" s="1"/>
  <c r="L4" i="8"/>
  <c r="AF4" i="8" s="1"/>
  <c r="AG4" i="17"/>
  <c r="Z5" i="17"/>
  <c r="AJ4" i="17"/>
  <c r="P18" i="17"/>
  <c r="P20" i="17"/>
  <c r="J8" i="17"/>
  <c r="Q18" i="17"/>
  <c r="Q20" i="17"/>
  <c r="L4" i="17"/>
  <c r="AF4" i="17" s="1"/>
  <c r="AE4" i="17"/>
  <c r="P17" i="17"/>
  <c r="P19" i="17"/>
  <c r="Q17" i="17"/>
  <c r="L18" i="17"/>
  <c r="Q19" i="17"/>
  <c r="Q6" i="17"/>
  <c r="Q21" i="17"/>
  <c r="Q23" i="17"/>
  <c r="P12" i="15"/>
  <c r="Q10" i="15"/>
  <c r="L4" i="15"/>
  <c r="AF4" i="15" s="1"/>
  <c r="I6" i="15"/>
  <c r="S6" i="15" s="1"/>
  <c r="P16" i="15"/>
  <c r="AJ5" i="15"/>
  <c r="I7" i="15"/>
  <c r="S7" i="15" s="1"/>
  <c r="J8" i="15"/>
  <c r="P18" i="15"/>
  <c r="P20" i="15"/>
  <c r="P5" i="15"/>
  <c r="Q18" i="15"/>
  <c r="Q20" i="15"/>
  <c r="P22" i="15"/>
  <c r="Q5" i="15"/>
  <c r="Q22" i="15"/>
  <c r="Q7" i="15"/>
  <c r="Q9" i="15"/>
  <c r="Q11" i="15"/>
  <c r="Q13" i="15"/>
  <c r="Q15" i="15"/>
  <c r="P6" i="15"/>
  <c r="Q17" i="15"/>
  <c r="Q19" i="15"/>
  <c r="P21" i="15"/>
  <c r="P23" i="15"/>
  <c r="Q6" i="15"/>
  <c r="Q21" i="15"/>
  <c r="Q23" i="15"/>
  <c r="V5" i="14"/>
  <c r="AH5" i="14" s="1"/>
  <c r="L24" i="14"/>
  <c r="L22" i="14"/>
  <c r="L14" i="14"/>
  <c r="L12" i="14"/>
  <c r="L10" i="14"/>
  <c r="L8" i="14"/>
  <c r="L21" i="14"/>
  <c r="L7" i="14"/>
  <c r="L15" i="14"/>
  <c r="L19" i="14"/>
  <c r="L9" i="14"/>
  <c r="L6" i="14"/>
  <c r="L11" i="14"/>
  <c r="L18" i="14"/>
  <c r="P16" i="14"/>
  <c r="J6" i="14"/>
  <c r="Q16" i="14"/>
  <c r="P5" i="14"/>
  <c r="Q18" i="14"/>
  <c r="Q20" i="14"/>
  <c r="P22" i="14"/>
  <c r="P24" i="14"/>
  <c r="Q5" i="14"/>
  <c r="Q22" i="14"/>
  <c r="Q24" i="14"/>
  <c r="AE4" i="14"/>
  <c r="P17" i="14"/>
  <c r="P19" i="14"/>
  <c r="P6" i="14"/>
  <c r="Q17" i="14"/>
  <c r="Q19" i="14"/>
  <c r="P21" i="14"/>
  <c r="P23" i="14"/>
  <c r="Q6" i="14"/>
  <c r="Q21" i="14"/>
  <c r="Q23" i="14"/>
  <c r="W5" i="8"/>
  <c r="X5" i="8" s="1"/>
  <c r="AH5" i="8"/>
  <c r="Q24" i="8"/>
  <c r="P24" i="8"/>
  <c r="Q23" i="8"/>
  <c r="P23" i="8"/>
  <c r="Q22" i="8"/>
  <c r="P22" i="8"/>
  <c r="Q21" i="8"/>
  <c r="P21" i="8"/>
  <c r="Q20" i="8"/>
  <c r="P20" i="8"/>
  <c r="Q19" i="8"/>
  <c r="P19" i="8"/>
  <c r="Q18" i="8"/>
  <c r="P18" i="8"/>
  <c r="Q17" i="8"/>
  <c r="P17" i="8"/>
  <c r="Q16" i="8"/>
  <c r="P16" i="8"/>
  <c r="Q15" i="8"/>
  <c r="P15" i="8"/>
  <c r="AN5" i="31" l="1"/>
  <c r="AJ4" i="8"/>
  <c r="AG6" i="31"/>
  <c r="AF6" i="31"/>
  <c r="U7" i="31"/>
  <c r="V7" i="31" s="1"/>
  <c r="AH7" i="31" s="1"/>
  <c r="AE6" i="31"/>
  <c r="AB6" i="31"/>
  <c r="Z7" i="31" s="1"/>
  <c r="AC6" i="31"/>
  <c r="AM6" i="31" s="1"/>
  <c r="AS5" i="17"/>
  <c r="J7" i="8"/>
  <c r="I6" i="8"/>
  <c r="S6" i="8" s="1"/>
  <c r="AH5" i="15"/>
  <c r="AS5" i="8"/>
  <c r="AM4" i="18"/>
  <c r="AS5" i="18"/>
  <c r="J12" i="31"/>
  <c r="I11" i="31"/>
  <c r="S11" i="31" s="1"/>
  <c r="AI4" i="15"/>
  <c r="AM4" i="15"/>
  <c r="AA5" i="15"/>
  <c r="AJ4" i="15"/>
  <c r="AA5" i="8"/>
  <c r="AA5" i="14"/>
  <c r="AM4" i="17"/>
  <c r="J44" i="15"/>
  <c r="I44" i="15" s="1"/>
  <c r="S44" i="15" s="1"/>
  <c r="I43" i="15"/>
  <c r="S43" i="15" s="1"/>
  <c r="W5" i="17"/>
  <c r="X5" i="17" s="1"/>
  <c r="AC5" i="17" s="1"/>
  <c r="AA6" i="17" s="1"/>
  <c r="W5" i="18"/>
  <c r="X5" i="18" s="1"/>
  <c r="Z5" i="18"/>
  <c r="AJ4" i="18"/>
  <c r="AI4" i="18"/>
  <c r="J7" i="18"/>
  <c r="I6" i="18"/>
  <c r="S6" i="18" s="1"/>
  <c r="AI4" i="8"/>
  <c r="J9" i="17"/>
  <c r="I8" i="17"/>
  <c r="S8" i="17" s="1"/>
  <c r="AI4" i="17"/>
  <c r="AL4" i="17" s="1"/>
  <c r="J9" i="15"/>
  <c r="I8" i="15"/>
  <c r="S8" i="15" s="1"/>
  <c r="W5" i="14"/>
  <c r="X5" i="14" s="1"/>
  <c r="Z5" i="14"/>
  <c r="AJ4" i="14"/>
  <c r="AI4" i="14"/>
  <c r="J7" i="14"/>
  <c r="I6" i="14"/>
  <c r="S6" i="14" s="1"/>
  <c r="AJ6" i="8"/>
  <c r="AC5" i="8"/>
  <c r="U6" i="8"/>
  <c r="AG5" i="8"/>
  <c r="AF5" i="8"/>
  <c r="AE5" i="8"/>
  <c r="AB5" i="8"/>
  <c r="Z6" i="8" s="1"/>
  <c r="AK6" i="31" l="1"/>
  <c r="AS5" i="15"/>
  <c r="AU5" i="15" s="1"/>
  <c r="AL4" i="8"/>
  <c r="AI6" i="31"/>
  <c r="AA7" i="31"/>
  <c r="J8" i="8"/>
  <c r="I7" i="8"/>
  <c r="S7" i="8" s="1"/>
  <c r="AS7" i="31"/>
  <c r="X7" i="31"/>
  <c r="U8" i="31" s="1"/>
  <c r="V8" i="31" s="1"/>
  <c r="I12" i="31"/>
  <c r="S12" i="31" s="1"/>
  <c r="J13" i="31"/>
  <c r="AL4" i="15"/>
  <c r="AG5" i="17"/>
  <c r="U6" i="17"/>
  <c r="V6" i="17" s="1"/>
  <c r="AH6" i="17" s="1"/>
  <c r="AE5" i="17"/>
  <c r="AF5" i="17"/>
  <c r="AM5" i="17"/>
  <c r="AJ6" i="17"/>
  <c r="AB5" i="17"/>
  <c r="Z6" i="17" s="1"/>
  <c r="AJ6" i="18"/>
  <c r="AF5" i="18"/>
  <c r="AE5" i="18"/>
  <c r="U6" i="18"/>
  <c r="AG5" i="18"/>
  <c r="AC5" i="18"/>
  <c r="AB5" i="18"/>
  <c r="Z6" i="18" s="1"/>
  <c r="AL4" i="18"/>
  <c r="I7" i="18"/>
  <c r="S7" i="18" s="1"/>
  <c r="J8" i="18"/>
  <c r="I9" i="17"/>
  <c r="S9" i="17" s="1"/>
  <c r="J10" i="17"/>
  <c r="X5" i="15"/>
  <c r="U6" i="15" s="1"/>
  <c r="I9" i="15"/>
  <c r="S9" i="15" s="1"/>
  <c r="J10" i="15"/>
  <c r="AF5" i="14"/>
  <c r="AE5" i="14"/>
  <c r="U6" i="14"/>
  <c r="AG5" i="14"/>
  <c r="AJ6" i="14"/>
  <c r="I7" i="14"/>
  <c r="S7" i="14" s="1"/>
  <c r="J8" i="14"/>
  <c r="AL4" i="14"/>
  <c r="AC5" i="14"/>
  <c r="AB5" i="14"/>
  <c r="Z6" i="14" s="1"/>
  <c r="AI5" i="8"/>
  <c r="AK5" i="8"/>
  <c r="V6" i="8"/>
  <c r="AH6" i="8" s="1"/>
  <c r="AA6" i="8"/>
  <c r="AM5" i="8"/>
  <c r="AN4" i="8" l="1"/>
  <c r="AL6" i="31"/>
  <c r="AK5" i="17"/>
  <c r="AS6" i="17"/>
  <c r="J9" i="8"/>
  <c r="I8" i="8"/>
  <c r="S8" i="8" s="1"/>
  <c r="AS6" i="8"/>
  <c r="AC7" i="31"/>
  <c r="AA8" i="31" s="1"/>
  <c r="AB7" i="31"/>
  <c r="Z8" i="31" s="1"/>
  <c r="AJ8" i="31"/>
  <c r="AF7" i="31"/>
  <c r="AG7" i="31"/>
  <c r="AE7" i="31"/>
  <c r="I13" i="31"/>
  <c r="S13" i="31" s="1"/>
  <c r="J14" i="31"/>
  <c r="AH8" i="31"/>
  <c r="AB5" i="15"/>
  <c r="Z6" i="15" s="1"/>
  <c r="AG5" i="15"/>
  <c r="AK5" i="18"/>
  <c r="AK5" i="14"/>
  <c r="AI5" i="17"/>
  <c r="AI5" i="18"/>
  <c r="V6" i="18"/>
  <c r="AH6" i="18" s="1"/>
  <c r="AN4" i="18"/>
  <c r="J9" i="18"/>
  <c r="I8" i="18"/>
  <c r="S8" i="18" s="1"/>
  <c r="AA6" i="18"/>
  <c r="AM5" i="18"/>
  <c r="AN4" i="17"/>
  <c r="W6" i="17"/>
  <c r="X6" i="17" s="1"/>
  <c r="J11" i="17"/>
  <c r="I10" i="17"/>
  <c r="S10" i="17" s="1"/>
  <c r="AC5" i="15"/>
  <c r="AM5" i="15" s="1"/>
  <c r="AJ6" i="15"/>
  <c r="V6" i="15"/>
  <c r="AH6" i="15" s="1"/>
  <c r="AE5" i="15"/>
  <c r="AF5" i="15"/>
  <c r="J11" i="15"/>
  <c r="I10" i="15"/>
  <c r="S10" i="15" s="1"/>
  <c r="AI5" i="14"/>
  <c r="AA6" i="14"/>
  <c r="AM5" i="14"/>
  <c r="J9" i="14"/>
  <c r="I8" i="14"/>
  <c r="S8" i="14" s="1"/>
  <c r="V6" i="14"/>
  <c r="AH6" i="14" s="1"/>
  <c r="AN4" i="14"/>
  <c r="AL5" i="8"/>
  <c r="W6" i="8"/>
  <c r="X6" i="8" s="1"/>
  <c r="AN6" i="31" l="1"/>
  <c r="AS6" i="15"/>
  <c r="AU6" i="15" s="1"/>
  <c r="AN5" i="8"/>
  <c r="J10" i="8"/>
  <c r="I9" i="8"/>
  <c r="S9" i="8" s="1"/>
  <c r="AK7" i="31"/>
  <c r="AM7" i="31"/>
  <c r="AI7" i="31"/>
  <c r="AS8" i="31"/>
  <c r="AS6" i="18"/>
  <c r="X8" i="31"/>
  <c r="J15" i="31"/>
  <c r="I14" i="31"/>
  <c r="S14" i="31" s="1"/>
  <c r="AK5" i="15"/>
  <c r="AI5" i="15"/>
  <c r="AA6" i="15"/>
  <c r="W6" i="18"/>
  <c r="X6" i="18" s="1"/>
  <c r="AE6" i="18" s="1"/>
  <c r="AL5" i="17"/>
  <c r="I9" i="18"/>
  <c r="S9" i="18" s="1"/>
  <c r="J10" i="18"/>
  <c r="AL5" i="18"/>
  <c r="I11" i="17"/>
  <c r="S11" i="17" s="1"/>
  <c r="J12" i="17"/>
  <c r="U7" i="17"/>
  <c r="AJ7" i="17"/>
  <c r="AG6" i="17"/>
  <c r="AE6" i="17"/>
  <c r="AB6" i="17"/>
  <c r="Z7" i="17" s="1"/>
  <c r="AF6" i="17"/>
  <c r="AC6" i="17"/>
  <c r="X6" i="15"/>
  <c r="U7" i="15" s="1"/>
  <c r="I11" i="15"/>
  <c r="S11" i="15" s="1"/>
  <c r="J12" i="15"/>
  <c r="AL5" i="14"/>
  <c r="I9" i="14"/>
  <c r="S9" i="14" s="1"/>
  <c r="J10" i="14"/>
  <c r="W6" i="14"/>
  <c r="X6" i="14" s="1"/>
  <c r="AJ7" i="8"/>
  <c r="AG6" i="8"/>
  <c r="AE6" i="8"/>
  <c r="AB6" i="8"/>
  <c r="Z7" i="8" s="1"/>
  <c r="AF6" i="8"/>
  <c r="AC6" i="8"/>
  <c r="U7" i="8"/>
  <c r="AL7" i="31" l="1"/>
  <c r="I10" i="8"/>
  <c r="S10" i="8" s="1"/>
  <c r="J11" i="8"/>
  <c r="AF8" i="31"/>
  <c r="AE8" i="31"/>
  <c r="U9" i="31"/>
  <c r="V9" i="31" s="1"/>
  <c r="AG8" i="31"/>
  <c r="AJ9" i="31"/>
  <c r="AB8" i="31"/>
  <c r="Z9" i="31" s="1"/>
  <c r="AC8" i="31"/>
  <c r="J16" i="31"/>
  <c r="I15" i="31"/>
  <c r="S15" i="31" s="1"/>
  <c r="AG6" i="15"/>
  <c r="AB6" i="18"/>
  <c r="Z7" i="18" s="1"/>
  <c r="AG6" i="18"/>
  <c r="AF6" i="18"/>
  <c r="AK6" i="18" s="1"/>
  <c r="U7" i="18"/>
  <c r="V7" i="18" s="1"/>
  <c r="AH7" i="18" s="1"/>
  <c r="AC6" i="18"/>
  <c r="AJ7" i="18"/>
  <c r="AN5" i="17"/>
  <c r="AN5" i="18"/>
  <c r="J11" i="18"/>
  <c r="I10" i="18"/>
  <c r="S10" i="18" s="1"/>
  <c r="V7" i="17"/>
  <c r="AH7" i="17" s="1"/>
  <c r="AI6" i="17"/>
  <c r="AK6" i="17"/>
  <c r="J13" i="17"/>
  <c r="I12" i="17"/>
  <c r="S12" i="17" s="1"/>
  <c r="AA7" i="17"/>
  <c r="AM6" i="17"/>
  <c r="J13" i="15"/>
  <c r="I12" i="15"/>
  <c r="S12" i="15" s="1"/>
  <c r="AF6" i="15"/>
  <c r="AE6" i="15"/>
  <c r="AJ7" i="15"/>
  <c r="AC6" i="15"/>
  <c r="AB6" i="15"/>
  <c r="Z7" i="15" s="1"/>
  <c r="J11" i="14"/>
  <c r="I10" i="14"/>
  <c r="S10" i="14" s="1"/>
  <c r="AN5" i="14"/>
  <c r="U7" i="14"/>
  <c r="AJ7" i="14"/>
  <c r="AG6" i="14"/>
  <c r="AF6" i="14"/>
  <c r="AE6" i="14"/>
  <c r="AB6" i="14"/>
  <c r="Z7" i="14" s="1"/>
  <c r="AC6" i="14"/>
  <c r="V7" i="8"/>
  <c r="AH7" i="8" s="1"/>
  <c r="AA7" i="8"/>
  <c r="AM6" i="8"/>
  <c r="AI6" i="8"/>
  <c r="AK6" i="8"/>
  <c r="AN7" i="31" l="1"/>
  <c r="J12" i="8"/>
  <c r="I11" i="8"/>
  <c r="S11" i="8" s="1"/>
  <c r="AS7" i="8"/>
  <c r="AS7" i="18"/>
  <c r="AS7" i="17"/>
  <c r="AI8" i="31"/>
  <c r="AK8" i="31"/>
  <c r="J17" i="31"/>
  <c r="I16" i="31"/>
  <c r="S16" i="31" s="1"/>
  <c r="AA9" i="31"/>
  <c r="AM8" i="31"/>
  <c r="AH9" i="31"/>
  <c r="AI6" i="18"/>
  <c r="AL6" i="18" s="1"/>
  <c r="W7" i="18"/>
  <c r="X7" i="18" s="1"/>
  <c r="AA7" i="18"/>
  <c r="AM6" i="18"/>
  <c r="W7" i="17"/>
  <c r="X7" i="17" s="1"/>
  <c r="U8" i="17" s="1"/>
  <c r="I11" i="18"/>
  <c r="S11" i="18" s="1"/>
  <c r="J12" i="18"/>
  <c r="AL6" i="17"/>
  <c r="I13" i="17"/>
  <c r="S13" i="17" s="1"/>
  <c r="J14" i="17"/>
  <c r="V7" i="15"/>
  <c r="AH7" i="15" s="1"/>
  <c r="AA7" i="15"/>
  <c r="AM6" i="15"/>
  <c r="AK6" i="15"/>
  <c r="I13" i="15"/>
  <c r="S13" i="15" s="1"/>
  <c r="J14" i="15"/>
  <c r="V7" i="14"/>
  <c r="AH7" i="14" s="1"/>
  <c r="AA7" i="14"/>
  <c r="AM6" i="14"/>
  <c r="AI6" i="14"/>
  <c r="AK6" i="14"/>
  <c r="I11" i="14"/>
  <c r="S11" i="14" s="1"/>
  <c r="J12" i="14"/>
  <c r="W7" i="8"/>
  <c r="X7" i="8" s="1"/>
  <c r="AF7" i="8" s="1"/>
  <c r="AL6" i="8"/>
  <c r="AS7" i="15" l="1"/>
  <c r="AU7" i="15" s="1"/>
  <c r="I12" i="8"/>
  <c r="S12" i="8" s="1"/>
  <c r="J13" i="8"/>
  <c r="AS9" i="31"/>
  <c r="X9" i="31"/>
  <c r="I17" i="31"/>
  <c r="S17" i="31" s="1"/>
  <c r="J18" i="31"/>
  <c r="AL8" i="31"/>
  <c r="AF7" i="17"/>
  <c r="AB7" i="8"/>
  <c r="Z8" i="8" s="1"/>
  <c r="AE7" i="17"/>
  <c r="AG7" i="17"/>
  <c r="AJ8" i="17"/>
  <c r="AB7" i="17"/>
  <c r="Z8" i="17" s="1"/>
  <c r="AC7" i="17"/>
  <c r="AA8" i="17" s="1"/>
  <c r="J13" i="18"/>
  <c r="I12" i="18"/>
  <c r="S12" i="18" s="1"/>
  <c r="AN6" i="18"/>
  <c r="AE7" i="18"/>
  <c r="U8" i="18"/>
  <c r="AG7" i="18"/>
  <c r="AF7" i="18"/>
  <c r="AB7" i="18"/>
  <c r="Z8" i="18" s="1"/>
  <c r="AJ8" i="18"/>
  <c r="AC7" i="18"/>
  <c r="V8" i="17"/>
  <c r="AH8" i="17" s="1"/>
  <c r="J15" i="17"/>
  <c r="I14" i="17"/>
  <c r="S14" i="17" s="1"/>
  <c r="AN6" i="17"/>
  <c r="X7" i="15"/>
  <c r="U8" i="15" s="1"/>
  <c r="J15" i="15"/>
  <c r="I14" i="15"/>
  <c r="S14" i="15" s="1"/>
  <c r="W7" i="14"/>
  <c r="X7" i="14" s="1"/>
  <c r="AL6" i="14"/>
  <c r="J13" i="14"/>
  <c r="I12" i="14"/>
  <c r="S12" i="14" s="1"/>
  <c r="AC7" i="8"/>
  <c r="AA8" i="8" s="1"/>
  <c r="AG7" i="8"/>
  <c r="U8" i="8"/>
  <c r="V8" i="8" s="1"/>
  <c r="AH8" i="8" s="1"/>
  <c r="AE7" i="8"/>
  <c r="AK7" i="8" s="1"/>
  <c r="AJ8" i="8"/>
  <c r="AN6" i="8"/>
  <c r="J14" i="8" l="1"/>
  <c r="I13" i="8"/>
  <c r="S13" i="8" s="1"/>
  <c r="AS8" i="8"/>
  <c r="AS8" i="17"/>
  <c r="AJ10" i="31"/>
  <c r="AG9" i="31"/>
  <c r="U10" i="31"/>
  <c r="AF9" i="31"/>
  <c r="AE9" i="31"/>
  <c r="AB9" i="31"/>
  <c r="Z10" i="31" s="1"/>
  <c r="AC9" i="31"/>
  <c r="AN8" i="31"/>
  <c r="I18" i="31"/>
  <c r="S18" i="31" s="1"/>
  <c r="J19" i="31"/>
  <c r="AG7" i="15"/>
  <c r="AK7" i="17"/>
  <c r="AI7" i="17"/>
  <c r="AM7" i="8"/>
  <c r="AM7" i="17"/>
  <c r="AI7" i="18"/>
  <c r="AK7" i="18"/>
  <c r="V8" i="18"/>
  <c r="AH8" i="18" s="1"/>
  <c r="AA8" i="18"/>
  <c r="AM7" i="18"/>
  <c r="I13" i="18"/>
  <c r="S13" i="18" s="1"/>
  <c r="J14" i="18"/>
  <c r="W8" i="17"/>
  <c r="X8" i="17" s="1"/>
  <c r="I15" i="17"/>
  <c r="S15" i="17" s="1"/>
  <c r="J16" i="17"/>
  <c r="I15" i="15"/>
  <c r="S15" i="15" s="1"/>
  <c r="J16" i="15"/>
  <c r="AE7" i="15"/>
  <c r="AJ8" i="15"/>
  <c r="AF7" i="15"/>
  <c r="AB7" i="15"/>
  <c r="Z8" i="15" s="1"/>
  <c r="AC7" i="15"/>
  <c r="AE7" i="14"/>
  <c r="AB7" i="14"/>
  <c r="Z8" i="14" s="1"/>
  <c r="U8" i="14"/>
  <c r="AG7" i="14"/>
  <c r="AF7" i="14"/>
  <c r="AJ8" i="14"/>
  <c r="AC7" i="14"/>
  <c r="AN6" i="14"/>
  <c r="I13" i="14"/>
  <c r="S13" i="14" s="1"/>
  <c r="J14" i="14"/>
  <c r="AI7" i="8"/>
  <c r="AL7" i="8" s="1"/>
  <c r="W8" i="8"/>
  <c r="X8" i="8" s="1"/>
  <c r="J15" i="8" l="1"/>
  <c r="I14" i="8"/>
  <c r="S14" i="8" s="1"/>
  <c r="AS8" i="18"/>
  <c r="J20" i="31"/>
  <c r="I19" i="31"/>
  <c r="S19" i="31" s="1"/>
  <c r="AI9" i="31"/>
  <c r="AK9" i="31"/>
  <c r="AA10" i="31"/>
  <c r="AM9" i="31"/>
  <c r="V10" i="31"/>
  <c r="AH10" i="31" s="1"/>
  <c r="W8" i="18"/>
  <c r="X8" i="18" s="1"/>
  <c r="AL7" i="17"/>
  <c r="J15" i="18"/>
  <c r="I14" i="18"/>
  <c r="S14" i="18" s="1"/>
  <c r="AL7" i="18"/>
  <c r="U9" i="17"/>
  <c r="AG8" i="17"/>
  <c r="AJ9" i="17"/>
  <c r="AF8" i="17"/>
  <c r="AE8" i="17"/>
  <c r="AC8" i="17"/>
  <c r="AB8" i="17"/>
  <c r="Z9" i="17" s="1"/>
  <c r="I16" i="17"/>
  <c r="S16" i="17" s="1"/>
  <c r="J17" i="17"/>
  <c r="I16" i="15"/>
  <c r="S16" i="15" s="1"/>
  <c r="J17" i="15"/>
  <c r="V8" i="15"/>
  <c r="AH8" i="15" s="1"/>
  <c r="AK7" i="15"/>
  <c r="AA8" i="15"/>
  <c r="AM7" i="15"/>
  <c r="V8" i="14"/>
  <c r="AH8" i="14" s="1"/>
  <c r="AI7" i="14"/>
  <c r="AK7" i="14"/>
  <c r="AA8" i="14"/>
  <c r="AM7" i="14"/>
  <c r="J15" i="14"/>
  <c r="I14" i="14"/>
  <c r="S14" i="14" s="1"/>
  <c r="AJ9" i="8"/>
  <c r="AC8" i="8"/>
  <c r="AB8" i="8"/>
  <c r="Z9" i="8" s="1"/>
  <c r="AG8" i="8"/>
  <c r="AF8" i="8"/>
  <c r="AE8" i="8"/>
  <c r="U9" i="8"/>
  <c r="AN7" i="8"/>
  <c r="AN7" i="17" l="1"/>
  <c r="J16" i="8"/>
  <c r="I15" i="8"/>
  <c r="S15" i="8" s="1"/>
  <c r="AS8" i="15"/>
  <c r="AU8" i="15" s="1"/>
  <c r="AS10" i="31"/>
  <c r="X10" i="31"/>
  <c r="AE10" i="31" s="1"/>
  <c r="AL9" i="31"/>
  <c r="AN9" i="31" s="1"/>
  <c r="I20" i="31"/>
  <c r="S20" i="31" s="1"/>
  <c r="J21" i="31"/>
  <c r="U9" i="18"/>
  <c r="AG8" i="18"/>
  <c r="AF8" i="18"/>
  <c r="AE8" i="18"/>
  <c r="AJ9" i="18"/>
  <c r="AB8" i="18"/>
  <c r="Z9" i="18" s="1"/>
  <c r="AC8" i="18"/>
  <c r="AN7" i="18"/>
  <c r="I15" i="18"/>
  <c r="S15" i="18" s="1"/>
  <c r="J16" i="18"/>
  <c r="AA9" i="17"/>
  <c r="AM8" i="17"/>
  <c r="I17" i="17"/>
  <c r="S17" i="17" s="1"/>
  <c r="J18" i="17"/>
  <c r="AI8" i="17"/>
  <c r="AK8" i="17"/>
  <c r="V9" i="17"/>
  <c r="AH9" i="17" s="1"/>
  <c r="I17" i="15"/>
  <c r="S17" i="15" s="1"/>
  <c r="J18" i="15"/>
  <c r="X8" i="15"/>
  <c r="U9" i="15" s="1"/>
  <c r="W8" i="14"/>
  <c r="X8" i="14" s="1"/>
  <c r="I15" i="14"/>
  <c r="S15" i="14" s="1"/>
  <c r="J16" i="14"/>
  <c r="AL7" i="14"/>
  <c r="V9" i="8"/>
  <c r="AH9" i="8" s="1"/>
  <c r="AI8" i="8"/>
  <c r="AK8" i="8"/>
  <c r="AA9" i="8"/>
  <c r="AM8" i="8"/>
  <c r="J17" i="8" l="1"/>
  <c r="I16" i="8"/>
  <c r="S16" i="8" s="1"/>
  <c r="AS9" i="8"/>
  <c r="AF10" i="31"/>
  <c r="AK10" i="31" s="1"/>
  <c r="AG10" i="31"/>
  <c r="U11" i="31"/>
  <c r="V11" i="31" s="1"/>
  <c r="AH11" i="31" s="1"/>
  <c r="AS11" i="31" s="1"/>
  <c r="AB10" i="31"/>
  <c r="Z11" i="31" s="1"/>
  <c r="AJ11" i="31"/>
  <c r="AC10" i="31"/>
  <c r="AA11" i="31" s="1"/>
  <c r="AS9" i="17"/>
  <c r="J22" i="31"/>
  <c r="I21" i="31"/>
  <c r="S21" i="31" s="1"/>
  <c r="AG8" i="15"/>
  <c r="AA9" i="18"/>
  <c r="AM8" i="18"/>
  <c r="I16" i="18"/>
  <c r="S16" i="18" s="1"/>
  <c r="J17" i="18"/>
  <c r="AI8" i="18"/>
  <c r="AK8" i="18"/>
  <c r="V9" i="18"/>
  <c r="AH9" i="18" s="1"/>
  <c r="W9" i="17"/>
  <c r="X9" i="17" s="1"/>
  <c r="I18" i="17"/>
  <c r="S18" i="17" s="1"/>
  <c r="J19" i="17"/>
  <c r="AL8" i="17"/>
  <c r="AF8" i="15"/>
  <c r="AE8" i="15"/>
  <c r="AB8" i="15"/>
  <c r="Z9" i="15" s="1"/>
  <c r="AJ9" i="15"/>
  <c r="AC8" i="15"/>
  <c r="I18" i="15"/>
  <c r="S18" i="15" s="1"/>
  <c r="J19" i="15"/>
  <c r="AN7" i="14"/>
  <c r="I16" i="14"/>
  <c r="S16" i="14" s="1"/>
  <c r="J17" i="14"/>
  <c r="U9" i="14"/>
  <c r="AG8" i="14"/>
  <c r="AJ9" i="14"/>
  <c r="AF8" i="14"/>
  <c r="AE8" i="14"/>
  <c r="AC8" i="14"/>
  <c r="AB8" i="14"/>
  <c r="Z9" i="14" s="1"/>
  <c r="AL8" i="8"/>
  <c r="W9" i="8"/>
  <c r="X9" i="8" s="1"/>
  <c r="J18" i="8" l="1"/>
  <c r="I17" i="8"/>
  <c r="S17" i="8" s="1"/>
  <c r="AI10" i="31"/>
  <c r="AL10" i="31" s="1"/>
  <c r="AM10" i="31"/>
  <c r="AS9" i="18"/>
  <c r="J23" i="31"/>
  <c r="I22" i="31"/>
  <c r="S22" i="31" s="1"/>
  <c r="X11" i="31"/>
  <c r="I17" i="18"/>
  <c r="S17" i="18" s="1"/>
  <c r="J18" i="18"/>
  <c r="AL8" i="18"/>
  <c r="W9" i="18"/>
  <c r="X9" i="18" s="1"/>
  <c r="AN8" i="17"/>
  <c r="AE9" i="17"/>
  <c r="AG9" i="17"/>
  <c r="AJ10" i="17"/>
  <c r="AF9" i="17"/>
  <c r="U10" i="17"/>
  <c r="AB9" i="17"/>
  <c r="Z10" i="17" s="1"/>
  <c r="AC9" i="17"/>
  <c r="I19" i="17"/>
  <c r="S19" i="17" s="1"/>
  <c r="J20" i="17"/>
  <c r="I19" i="15"/>
  <c r="S19" i="15" s="1"/>
  <c r="J20" i="15"/>
  <c r="V9" i="15"/>
  <c r="AH9" i="15" s="1"/>
  <c r="AK8" i="15"/>
  <c r="AA9" i="15"/>
  <c r="AM8" i="15"/>
  <c r="V9" i="14"/>
  <c r="AH9" i="14" s="1"/>
  <c r="I17" i="14"/>
  <c r="S17" i="14" s="1"/>
  <c r="J18" i="14"/>
  <c r="AA9" i="14"/>
  <c r="AM8" i="14"/>
  <c r="AI8" i="14"/>
  <c r="AK8" i="14"/>
  <c r="AJ10" i="8"/>
  <c r="AB9" i="8"/>
  <c r="Z10" i="8" s="1"/>
  <c r="U10" i="8"/>
  <c r="AG9" i="8"/>
  <c r="AE9" i="8"/>
  <c r="AC9" i="8"/>
  <c r="AF9" i="8"/>
  <c r="AN8" i="8"/>
  <c r="J19" i="8" l="1"/>
  <c r="I18" i="8"/>
  <c r="S18" i="8" s="1"/>
  <c r="AN10" i="31"/>
  <c r="AS9" i="15"/>
  <c r="AU9" i="15" s="1"/>
  <c r="J24" i="31"/>
  <c r="I23" i="31"/>
  <c r="S23" i="31" s="1"/>
  <c r="AG11" i="31"/>
  <c r="AF11" i="31"/>
  <c r="U12" i="31"/>
  <c r="AE11" i="31"/>
  <c r="AJ12" i="31"/>
  <c r="AB11" i="31"/>
  <c r="Z12" i="31" s="1"/>
  <c r="AC11" i="31"/>
  <c r="AE9" i="18"/>
  <c r="U10" i="18"/>
  <c r="AG9" i="18"/>
  <c r="AF9" i="18"/>
  <c r="AB9" i="18"/>
  <c r="Z10" i="18" s="1"/>
  <c r="AJ10" i="18"/>
  <c r="AC9" i="18"/>
  <c r="I18" i="18"/>
  <c r="S18" i="18" s="1"/>
  <c r="J19" i="18"/>
  <c r="AN8" i="18"/>
  <c r="I20" i="17"/>
  <c r="S20" i="17" s="1"/>
  <c r="J21" i="17"/>
  <c r="AI9" i="17"/>
  <c r="AK9" i="17"/>
  <c r="AA10" i="17"/>
  <c r="AM9" i="17"/>
  <c r="V10" i="17"/>
  <c r="AH10" i="17" s="1"/>
  <c r="AS10" i="17" s="1"/>
  <c r="X9" i="15"/>
  <c r="U10" i="15" s="1"/>
  <c r="I20" i="15"/>
  <c r="S20" i="15" s="1"/>
  <c r="J21" i="15"/>
  <c r="I18" i="14"/>
  <c r="S18" i="14" s="1"/>
  <c r="J19" i="14"/>
  <c r="W9" i="14"/>
  <c r="X9" i="14" s="1"/>
  <c r="AL8" i="14"/>
  <c r="AA10" i="8"/>
  <c r="AM9" i="8"/>
  <c r="AI9" i="8"/>
  <c r="AK9" i="8"/>
  <c r="V10" i="8"/>
  <c r="AH10" i="8" s="1"/>
  <c r="AS10" i="8" s="1"/>
  <c r="J20" i="8" l="1"/>
  <c r="I19" i="8"/>
  <c r="S19" i="8" s="1"/>
  <c r="W10" i="8"/>
  <c r="X10" i="8" s="1"/>
  <c r="AI11" i="31"/>
  <c r="AK11" i="31"/>
  <c r="V12" i="31"/>
  <c r="AH12" i="31" s="1"/>
  <c r="AS12" i="31" s="1"/>
  <c r="AA12" i="31"/>
  <c r="AM11" i="31"/>
  <c r="J25" i="31"/>
  <c r="I24" i="31"/>
  <c r="S24" i="31" s="1"/>
  <c r="AG9" i="15"/>
  <c r="AA10" i="18"/>
  <c r="AM9" i="18"/>
  <c r="V10" i="18"/>
  <c r="AH10" i="18" s="1"/>
  <c r="AS10" i="18" s="1"/>
  <c r="I19" i="18"/>
  <c r="S19" i="18" s="1"/>
  <c r="J20" i="18"/>
  <c r="AI9" i="18"/>
  <c r="AK9" i="18"/>
  <c r="AL9" i="17"/>
  <c r="W10" i="17"/>
  <c r="X10" i="17" s="1"/>
  <c r="J22" i="17"/>
  <c r="I21" i="17"/>
  <c r="S21" i="17" s="1"/>
  <c r="AE9" i="15"/>
  <c r="AJ10" i="15"/>
  <c r="AF9" i="15"/>
  <c r="AB9" i="15"/>
  <c r="Z10" i="15" s="1"/>
  <c r="AC9" i="15"/>
  <c r="J22" i="15"/>
  <c r="I21" i="15"/>
  <c r="S21" i="15" s="1"/>
  <c r="AE9" i="14"/>
  <c r="AB9" i="14"/>
  <c r="Z10" i="14" s="1"/>
  <c r="U10" i="14"/>
  <c r="AG9" i="14"/>
  <c r="AJ10" i="14"/>
  <c r="AF9" i="14"/>
  <c r="AC9" i="14"/>
  <c r="AN8" i="14"/>
  <c r="I19" i="14"/>
  <c r="S19" i="14" s="1"/>
  <c r="J20" i="14"/>
  <c r="AL9" i="8"/>
  <c r="I20" i="8" l="1"/>
  <c r="S20" i="8" s="1"/>
  <c r="J21" i="8"/>
  <c r="X12" i="31"/>
  <c r="J26" i="31"/>
  <c r="I25" i="31"/>
  <c r="S25" i="31" s="1"/>
  <c r="AL11" i="31"/>
  <c r="AN11" i="31" s="1"/>
  <c r="AL9" i="18"/>
  <c r="AN9" i="18" s="1"/>
  <c r="I20" i="18"/>
  <c r="S20" i="18" s="1"/>
  <c r="J21" i="18"/>
  <c r="W10" i="18"/>
  <c r="X10" i="18" s="1"/>
  <c r="I22" i="17"/>
  <c r="S22" i="17" s="1"/>
  <c r="J23" i="17"/>
  <c r="U11" i="17"/>
  <c r="AG10" i="17"/>
  <c r="AJ11" i="17"/>
  <c r="AF10" i="17"/>
  <c r="AE10" i="17"/>
  <c r="AC10" i="17"/>
  <c r="AB10" i="17"/>
  <c r="Z11" i="17" s="1"/>
  <c r="AN9" i="17"/>
  <c r="AA10" i="15"/>
  <c r="AM9" i="15"/>
  <c r="I22" i="15"/>
  <c r="S22" i="15" s="1"/>
  <c r="J23" i="15"/>
  <c r="V10" i="15"/>
  <c r="AH10" i="15" s="1"/>
  <c r="AS10" i="15" s="1"/>
  <c r="AU10" i="15" s="1"/>
  <c r="AK9" i="15"/>
  <c r="AA10" i="14"/>
  <c r="AM9" i="14"/>
  <c r="I20" i="14"/>
  <c r="S20" i="14" s="1"/>
  <c r="J21" i="14"/>
  <c r="V10" i="14"/>
  <c r="AH10" i="14" s="1"/>
  <c r="AI9" i="14"/>
  <c r="AK9" i="14"/>
  <c r="AE10" i="8"/>
  <c r="U11" i="8"/>
  <c r="AG10" i="8"/>
  <c r="AJ11" i="8"/>
  <c r="AC10" i="8"/>
  <c r="AB10" i="8"/>
  <c r="Z11" i="8" s="1"/>
  <c r="AF10" i="8"/>
  <c r="AN9" i="8"/>
  <c r="J22" i="8" l="1"/>
  <c r="I21" i="8"/>
  <c r="S21" i="8" s="1"/>
  <c r="J27" i="31"/>
  <c r="I26" i="31"/>
  <c r="S26" i="31" s="1"/>
  <c r="AJ13" i="31"/>
  <c r="U13" i="31"/>
  <c r="AG12" i="31"/>
  <c r="AE12" i="31"/>
  <c r="AF12" i="31"/>
  <c r="AC12" i="31"/>
  <c r="AB12" i="31"/>
  <c r="Z13" i="31" s="1"/>
  <c r="J22" i="18"/>
  <c r="I21" i="18"/>
  <c r="S21" i="18" s="1"/>
  <c r="U11" i="18"/>
  <c r="AG10" i="18"/>
  <c r="AF10" i="18"/>
  <c r="AE10" i="18"/>
  <c r="AB10" i="18"/>
  <c r="Z11" i="18" s="1"/>
  <c r="AJ11" i="18"/>
  <c r="AC10" i="18"/>
  <c r="AA11" i="17"/>
  <c r="AM10" i="17"/>
  <c r="AI10" i="17"/>
  <c r="AK10" i="17"/>
  <c r="V11" i="17"/>
  <c r="AH11" i="17" s="1"/>
  <c r="AS11" i="17" s="1"/>
  <c r="J24" i="17"/>
  <c r="I24" i="17" s="1"/>
  <c r="S24" i="17" s="1"/>
  <c r="I23" i="17"/>
  <c r="S23" i="17" s="1"/>
  <c r="J24" i="15"/>
  <c r="I23" i="15"/>
  <c r="S23" i="15" s="1"/>
  <c r="X10" i="15"/>
  <c r="U11" i="15" s="1"/>
  <c r="J22" i="14"/>
  <c r="I21" i="14"/>
  <c r="S21" i="14" s="1"/>
  <c r="AL9" i="14"/>
  <c r="AN9" i="14" s="1"/>
  <c r="W10" i="14"/>
  <c r="X10" i="14" s="1"/>
  <c r="AA11" i="8"/>
  <c r="AM10" i="8"/>
  <c r="V11" i="8"/>
  <c r="AH11" i="8" s="1"/>
  <c r="AS11" i="8" s="1"/>
  <c r="AI10" i="8"/>
  <c r="AK10" i="8"/>
  <c r="J23" i="8" l="1"/>
  <c r="I22" i="8"/>
  <c r="S22" i="8" s="1"/>
  <c r="AA13" i="31"/>
  <c r="AM12" i="31"/>
  <c r="V13" i="31"/>
  <c r="AH13" i="31" s="1"/>
  <c r="AS13" i="31" s="1"/>
  <c r="AI12" i="31"/>
  <c r="AK12" i="31"/>
  <c r="I27" i="31"/>
  <c r="S27" i="31" s="1"/>
  <c r="J28" i="31"/>
  <c r="AG10" i="15"/>
  <c r="W11" i="17"/>
  <c r="X11" i="17" s="1"/>
  <c r="V11" i="18"/>
  <c r="AH11" i="18" s="1"/>
  <c r="AS11" i="18" s="1"/>
  <c r="AI10" i="18"/>
  <c r="AK10" i="18"/>
  <c r="AA11" i="18"/>
  <c r="AM10" i="18"/>
  <c r="I22" i="18"/>
  <c r="S22" i="18" s="1"/>
  <c r="J23" i="18"/>
  <c r="AL10" i="17"/>
  <c r="AN10" i="17" s="1"/>
  <c r="I24" i="15"/>
  <c r="S24" i="15" s="1"/>
  <c r="J25" i="15"/>
  <c r="AF10" i="15"/>
  <c r="AE10" i="15"/>
  <c r="AB10" i="15"/>
  <c r="Z11" i="15" s="1"/>
  <c r="AC10" i="15"/>
  <c r="AJ11" i="15"/>
  <c r="U11" i="14"/>
  <c r="AG10" i="14"/>
  <c r="AJ11" i="14"/>
  <c r="AF10" i="14"/>
  <c r="AE10" i="14"/>
  <c r="AB10" i="14"/>
  <c r="Z11" i="14" s="1"/>
  <c r="AC10" i="14"/>
  <c r="I22" i="14"/>
  <c r="S22" i="14" s="1"/>
  <c r="J23" i="14"/>
  <c r="AL10" i="8"/>
  <c r="W11" i="8"/>
  <c r="X11" i="8" s="1"/>
  <c r="J24" i="8" l="1"/>
  <c r="I24" i="8" s="1"/>
  <c r="S24" i="8" s="1"/>
  <c r="I23" i="8"/>
  <c r="S23" i="8" s="1"/>
  <c r="X13" i="31"/>
  <c r="U14" i="31" s="1"/>
  <c r="AL12" i="31"/>
  <c r="AN12" i="31" s="1"/>
  <c r="J29" i="31"/>
  <c r="I28" i="31"/>
  <c r="S28" i="31" s="1"/>
  <c r="W11" i="18"/>
  <c r="X11" i="18" s="1"/>
  <c r="AL10" i="18"/>
  <c r="AN10" i="18" s="1"/>
  <c r="J24" i="18"/>
  <c r="I24" i="18" s="1"/>
  <c r="S24" i="18" s="1"/>
  <c r="I23" i="18"/>
  <c r="S23" i="18" s="1"/>
  <c r="AE11" i="17"/>
  <c r="AG11" i="17"/>
  <c r="AJ12" i="17"/>
  <c r="AF11" i="17"/>
  <c r="U12" i="17"/>
  <c r="AB11" i="17"/>
  <c r="Z12" i="17" s="1"/>
  <c r="AC11" i="17"/>
  <c r="J26" i="15"/>
  <c r="I25" i="15"/>
  <c r="S25" i="15" s="1"/>
  <c r="AA11" i="15"/>
  <c r="AM10" i="15"/>
  <c r="AK10" i="15"/>
  <c r="V11" i="15"/>
  <c r="AH11" i="15" s="1"/>
  <c r="AS11" i="15" s="1"/>
  <c r="AU11" i="15" s="1"/>
  <c r="AA11" i="14"/>
  <c r="AM10" i="14"/>
  <c r="AI10" i="14"/>
  <c r="AK10" i="14"/>
  <c r="J24" i="14"/>
  <c r="I24" i="14" s="1"/>
  <c r="S24" i="14" s="1"/>
  <c r="I23" i="14"/>
  <c r="S23" i="14" s="1"/>
  <c r="V11" i="14"/>
  <c r="AH11" i="14" s="1"/>
  <c r="AN10" i="8"/>
  <c r="U12" i="8"/>
  <c r="AG11" i="8"/>
  <c r="AF11" i="8"/>
  <c r="AJ12" i="8"/>
  <c r="AC11" i="8"/>
  <c r="AB11" i="8"/>
  <c r="Z12" i="8" s="1"/>
  <c r="AE11" i="8"/>
  <c r="AC13" i="31" l="1"/>
  <c r="AA14" i="31" s="1"/>
  <c r="AE13" i="31"/>
  <c r="AB13" i="31"/>
  <c r="Z14" i="31" s="1"/>
  <c r="AJ14" i="31"/>
  <c r="AF13" i="31"/>
  <c r="AG13" i="31"/>
  <c r="V14" i="31"/>
  <c r="AH14" i="31" s="1"/>
  <c r="AS14" i="31" s="1"/>
  <c r="J30" i="31"/>
  <c r="I29" i="31"/>
  <c r="S29" i="31" s="1"/>
  <c r="AE11" i="18"/>
  <c r="U12" i="18"/>
  <c r="AG11" i="18"/>
  <c r="AF11" i="18"/>
  <c r="AB11" i="18"/>
  <c r="Z12" i="18" s="1"/>
  <c r="AJ12" i="18"/>
  <c r="AC11" i="18"/>
  <c r="V12" i="17"/>
  <c r="AH12" i="17" s="1"/>
  <c r="AS12" i="17" s="1"/>
  <c r="AA12" i="17"/>
  <c r="AM11" i="17"/>
  <c r="AI11" i="17"/>
  <c r="AK11" i="17"/>
  <c r="I26" i="15"/>
  <c r="S26" i="15" s="1"/>
  <c r="J27" i="15"/>
  <c r="X11" i="15"/>
  <c r="U12" i="15" s="1"/>
  <c r="AL10" i="14"/>
  <c r="AN10" i="14" s="1"/>
  <c r="W11" i="14"/>
  <c r="X11" i="14" s="1"/>
  <c r="AI11" i="8"/>
  <c r="AK11" i="8"/>
  <c r="V12" i="8"/>
  <c r="AH12" i="8" s="1"/>
  <c r="AS12" i="8" s="1"/>
  <c r="AA12" i="8"/>
  <c r="AM11" i="8"/>
  <c r="AI13" i="31" l="1"/>
  <c r="AK13" i="31"/>
  <c r="AM13" i="31"/>
  <c r="X14" i="31"/>
  <c r="AG14" i="31" s="1"/>
  <c r="J31" i="31"/>
  <c r="I30" i="31"/>
  <c r="S30" i="31" s="1"/>
  <c r="AG11" i="15"/>
  <c r="W12" i="8"/>
  <c r="X12" i="8" s="1"/>
  <c r="AG12" i="8" s="1"/>
  <c r="AA12" i="18"/>
  <c r="AM11" i="18"/>
  <c r="V12" i="18"/>
  <c r="AH12" i="18" s="1"/>
  <c r="AS12" i="18" s="1"/>
  <c r="AI11" i="18"/>
  <c r="AK11" i="18"/>
  <c r="W12" i="17"/>
  <c r="X12" i="17" s="1"/>
  <c r="AL11" i="17"/>
  <c r="AN11" i="17" s="1"/>
  <c r="I27" i="15"/>
  <c r="S27" i="15" s="1"/>
  <c r="J28" i="15"/>
  <c r="AE11" i="15"/>
  <c r="AJ12" i="15"/>
  <c r="AF11" i="15"/>
  <c r="AB11" i="15"/>
  <c r="Z12" i="15" s="1"/>
  <c r="AC11" i="15"/>
  <c r="AE11" i="14"/>
  <c r="AB11" i="14"/>
  <c r="Z12" i="14" s="1"/>
  <c r="U12" i="14"/>
  <c r="AG11" i="14"/>
  <c r="AJ12" i="14"/>
  <c r="AF11" i="14"/>
  <c r="AC11" i="14"/>
  <c r="AL11" i="8"/>
  <c r="AN11" i="8" s="1"/>
  <c r="AL13" i="31" l="1"/>
  <c r="AN13" i="31" s="1"/>
  <c r="AF14" i="31"/>
  <c r="U15" i="31"/>
  <c r="V15" i="31" s="1"/>
  <c r="AH15" i="31" s="1"/>
  <c r="AS15" i="31" s="1"/>
  <c r="AE14" i="31"/>
  <c r="AB14" i="31"/>
  <c r="Z15" i="31" s="1"/>
  <c r="AC14" i="31"/>
  <c r="AA15" i="31" s="1"/>
  <c r="AJ15" i="31"/>
  <c r="J32" i="31"/>
  <c r="I31" i="31"/>
  <c r="S31" i="31" s="1"/>
  <c r="W12" i="18"/>
  <c r="X12" i="18" s="1"/>
  <c r="AC12" i="8"/>
  <c r="AA13" i="8" s="1"/>
  <c r="U13" i="8"/>
  <c r="V13" i="8" s="1"/>
  <c r="AH13" i="8" s="1"/>
  <c r="AS13" i="8" s="1"/>
  <c r="AF12" i="8"/>
  <c r="AB12" i="8"/>
  <c r="Z13" i="8" s="1"/>
  <c r="AJ13" i="8"/>
  <c r="AE12" i="8"/>
  <c r="AL11" i="18"/>
  <c r="AN11" i="18" s="1"/>
  <c r="U13" i="17"/>
  <c r="V13" i="17" s="1"/>
  <c r="AG12" i="17"/>
  <c r="AJ13" i="17"/>
  <c r="AF12" i="17"/>
  <c r="AE12" i="17"/>
  <c r="AC12" i="17"/>
  <c r="AB12" i="17"/>
  <c r="Z13" i="17" s="1"/>
  <c r="I28" i="15"/>
  <c r="S28" i="15" s="1"/>
  <c r="J29" i="15"/>
  <c r="AA12" i="15"/>
  <c r="AM11" i="15"/>
  <c r="V12" i="15"/>
  <c r="AH12" i="15" s="1"/>
  <c r="AS12" i="15" s="1"/>
  <c r="AU12" i="15" s="1"/>
  <c r="AK11" i="15"/>
  <c r="AA12" i="14"/>
  <c r="AM11" i="14"/>
  <c r="V12" i="14"/>
  <c r="AH12" i="14" s="1"/>
  <c r="AI11" i="14"/>
  <c r="AK11" i="14"/>
  <c r="AM14" i="31" l="1"/>
  <c r="AK14" i="31"/>
  <c r="AI14" i="31"/>
  <c r="X15" i="31"/>
  <c r="AG15" i="31" s="1"/>
  <c r="I32" i="31"/>
  <c r="S32" i="31" s="1"/>
  <c r="J33" i="31"/>
  <c r="AM12" i="8"/>
  <c r="AI12" i="8"/>
  <c r="AK12" i="8"/>
  <c r="U13" i="18"/>
  <c r="AG12" i="18"/>
  <c r="AF12" i="18"/>
  <c r="AE12" i="18"/>
  <c r="AJ13" i="18"/>
  <c r="AB12" i="18"/>
  <c r="Z13" i="18" s="1"/>
  <c r="AC12" i="18"/>
  <c r="AA13" i="17"/>
  <c r="AM12" i="17"/>
  <c r="AI12" i="17"/>
  <c r="AK12" i="17"/>
  <c r="AH13" i="17"/>
  <c r="AS13" i="17" s="1"/>
  <c r="I29" i="15"/>
  <c r="S29" i="15" s="1"/>
  <c r="J30" i="15"/>
  <c r="X12" i="15"/>
  <c r="U13" i="15" s="1"/>
  <c r="AL11" i="14"/>
  <c r="AN11" i="14" s="1"/>
  <c r="W12" i="14"/>
  <c r="X12" i="14" s="1"/>
  <c r="W13" i="8"/>
  <c r="X13" i="8" s="1"/>
  <c r="AL14" i="31" l="1"/>
  <c r="AN14" i="31" s="1"/>
  <c r="AF15" i="31"/>
  <c r="AB15" i="31"/>
  <c r="Z16" i="31" s="1"/>
  <c r="AC15" i="31"/>
  <c r="AA16" i="31" s="1"/>
  <c r="AJ16" i="31"/>
  <c r="AE15" i="31"/>
  <c r="U16" i="31"/>
  <c r="V16" i="31" s="1"/>
  <c r="AH16" i="31" s="1"/>
  <c r="AS16" i="31" s="1"/>
  <c r="I33" i="31"/>
  <c r="S33" i="31" s="1"/>
  <c r="J34" i="31"/>
  <c r="AG12" i="15"/>
  <c r="AL12" i="8"/>
  <c r="AN12" i="8" s="1"/>
  <c r="AA13" i="18"/>
  <c r="AM12" i="18"/>
  <c r="AI12" i="18"/>
  <c r="AK12" i="18"/>
  <c r="V13" i="18"/>
  <c r="AH13" i="18" s="1"/>
  <c r="AS13" i="18" s="1"/>
  <c r="W13" i="17"/>
  <c r="X13" i="17" s="1"/>
  <c r="AL12" i="17"/>
  <c r="AN12" i="17" s="1"/>
  <c r="I30" i="15"/>
  <c r="S30" i="15" s="1"/>
  <c r="J31" i="15"/>
  <c r="AF12" i="15"/>
  <c r="AE12" i="15"/>
  <c r="AB12" i="15"/>
  <c r="Z13" i="15" s="1"/>
  <c r="AC12" i="15"/>
  <c r="AJ13" i="15"/>
  <c r="U13" i="14"/>
  <c r="AG12" i="14"/>
  <c r="AJ13" i="14"/>
  <c r="AF12" i="14"/>
  <c r="AE12" i="14"/>
  <c r="AB12" i="14"/>
  <c r="Z13" i="14" s="1"/>
  <c r="AC12" i="14"/>
  <c r="AJ14" i="8"/>
  <c r="AG13" i="8"/>
  <c r="AC13" i="8"/>
  <c r="AB13" i="8"/>
  <c r="Z14" i="8" s="1"/>
  <c r="AE13" i="8"/>
  <c r="AF13" i="8"/>
  <c r="U14" i="8"/>
  <c r="AK15" i="31" l="1"/>
  <c r="AM15" i="31"/>
  <c r="AI15" i="31"/>
  <c r="I34" i="31"/>
  <c r="S34" i="31" s="1"/>
  <c r="J35" i="31"/>
  <c r="X16" i="31"/>
  <c r="W13" i="18"/>
  <c r="X13" i="18" s="1"/>
  <c r="AL12" i="18"/>
  <c r="AN12" i="18" s="1"/>
  <c r="AE13" i="17"/>
  <c r="AG13" i="17"/>
  <c r="AJ14" i="17"/>
  <c r="AF13" i="17"/>
  <c r="U14" i="17"/>
  <c r="AC13" i="17"/>
  <c r="AB13" i="17"/>
  <c r="Z14" i="17" s="1"/>
  <c r="I31" i="15"/>
  <c r="S31" i="15" s="1"/>
  <c r="J32" i="15"/>
  <c r="AA13" i="15"/>
  <c r="AM12" i="15"/>
  <c r="AK12" i="15"/>
  <c r="V13" i="15"/>
  <c r="AH13" i="15" s="1"/>
  <c r="AS13" i="15" s="1"/>
  <c r="AU13" i="15" s="1"/>
  <c r="AA13" i="14"/>
  <c r="AM12" i="14"/>
  <c r="AI12" i="14"/>
  <c r="AK12" i="14"/>
  <c r="V13" i="14"/>
  <c r="AH13" i="14" s="1"/>
  <c r="V14" i="8"/>
  <c r="AH14" i="8" s="1"/>
  <c r="AS14" i="8" s="1"/>
  <c r="AI13" i="8"/>
  <c r="AK13" i="8"/>
  <c r="AA14" i="8"/>
  <c r="AM13" i="8"/>
  <c r="AL15" i="31" l="1"/>
  <c r="AN15" i="31" s="1"/>
  <c r="AF16" i="31"/>
  <c r="AE16" i="31"/>
  <c r="U17" i="31"/>
  <c r="AG16" i="31"/>
  <c r="AJ17" i="31"/>
  <c r="AB16" i="31"/>
  <c r="Z17" i="31" s="1"/>
  <c r="AC16" i="31"/>
  <c r="J36" i="31"/>
  <c r="I35" i="31"/>
  <c r="S35" i="31" s="1"/>
  <c r="AE13" i="18"/>
  <c r="U14" i="18"/>
  <c r="AG13" i="18"/>
  <c r="AF13" i="18"/>
  <c r="AJ14" i="18"/>
  <c r="AB13" i="18"/>
  <c r="Z14" i="18" s="1"/>
  <c r="AC13" i="18"/>
  <c r="AI13" i="17"/>
  <c r="AK13" i="17"/>
  <c r="AA14" i="17"/>
  <c r="AM13" i="17"/>
  <c r="V14" i="17"/>
  <c r="AH14" i="17" s="1"/>
  <c r="AS14" i="17" s="1"/>
  <c r="J33" i="15"/>
  <c r="I32" i="15"/>
  <c r="S32" i="15" s="1"/>
  <c r="X13" i="15"/>
  <c r="U14" i="15" s="1"/>
  <c r="W13" i="14"/>
  <c r="X13" i="14" s="1"/>
  <c r="AC13" i="14" s="1"/>
  <c r="AA14" i="14" s="1"/>
  <c r="AL12" i="14"/>
  <c r="AN12" i="14" s="1"/>
  <c r="W14" i="8"/>
  <c r="X14" i="8" s="1"/>
  <c r="AL13" i="8"/>
  <c r="AN13" i="8" s="1"/>
  <c r="V17" i="31" l="1"/>
  <c r="AH17" i="31" s="1"/>
  <c r="AS17" i="31" s="1"/>
  <c r="AI16" i="31"/>
  <c r="AK16" i="31"/>
  <c r="J37" i="31"/>
  <c r="I36" i="31"/>
  <c r="S36" i="31" s="1"/>
  <c r="AA17" i="31"/>
  <c r="AM16" i="31"/>
  <c r="AG13" i="15"/>
  <c r="AF13" i="14"/>
  <c r="AJ14" i="14"/>
  <c r="AG13" i="14"/>
  <c r="AB13" i="14"/>
  <c r="Z14" i="14" s="1"/>
  <c r="U14" i="14"/>
  <c r="V14" i="14" s="1"/>
  <c r="AH14" i="14" s="1"/>
  <c r="AE13" i="14"/>
  <c r="W14" i="17"/>
  <c r="X14" i="17" s="1"/>
  <c r="AA14" i="18"/>
  <c r="AM13" i="18"/>
  <c r="V14" i="18"/>
  <c r="AH14" i="18" s="1"/>
  <c r="AS14" i="18" s="1"/>
  <c r="AI13" i="18"/>
  <c r="AK13" i="18"/>
  <c r="AL13" i="17"/>
  <c r="AN13" i="17" s="1"/>
  <c r="I33" i="15"/>
  <c r="S33" i="15" s="1"/>
  <c r="J34" i="15"/>
  <c r="AE13" i="15"/>
  <c r="AJ14" i="15"/>
  <c r="AF13" i="15"/>
  <c r="AB13" i="15"/>
  <c r="Z14" i="15" s="1"/>
  <c r="AC13" i="15"/>
  <c r="AM13" i="14"/>
  <c r="U15" i="8"/>
  <c r="AJ15" i="8"/>
  <c r="AF14" i="8"/>
  <c r="AE14" i="8"/>
  <c r="AG14" i="8"/>
  <c r="AB14" i="8"/>
  <c r="Z15" i="8" s="1"/>
  <c r="AC14" i="8"/>
  <c r="I37" i="31" l="1"/>
  <c r="S37" i="31" s="1"/>
  <c r="J38" i="31"/>
  <c r="AL16" i="31"/>
  <c r="AN16" i="31" s="1"/>
  <c r="X17" i="31"/>
  <c r="AI13" i="14"/>
  <c r="AK13" i="14"/>
  <c r="AL13" i="18"/>
  <c r="AN13" i="18" s="1"/>
  <c r="W14" i="18"/>
  <c r="X14" i="18" s="1"/>
  <c r="U15" i="17"/>
  <c r="AG14" i="17"/>
  <c r="AJ15" i="17"/>
  <c r="AF14" i="17"/>
  <c r="AE14" i="17"/>
  <c r="AB14" i="17"/>
  <c r="Z15" i="17" s="1"/>
  <c r="AC14" i="17"/>
  <c r="I34" i="15"/>
  <c r="S34" i="15" s="1"/>
  <c r="J35" i="15"/>
  <c r="AA14" i="15"/>
  <c r="AM13" i="15"/>
  <c r="V14" i="15"/>
  <c r="AH14" i="15" s="1"/>
  <c r="AS14" i="15" s="1"/>
  <c r="AU14" i="15" s="1"/>
  <c r="AK13" i="15"/>
  <c r="W14" i="14"/>
  <c r="X14" i="14" s="1"/>
  <c r="AA15" i="8"/>
  <c r="AM14" i="8"/>
  <c r="AI14" i="8"/>
  <c r="AK14" i="8"/>
  <c r="V15" i="8"/>
  <c r="AH15" i="8" s="1"/>
  <c r="AS15" i="8" s="1"/>
  <c r="AJ18" i="31" l="1"/>
  <c r="U18" i="31"/>
  <c r="AG17" i="31"/>
  <c r="AF17" i="31"/>
  <c r="AE17" i="31"/>
  <c r="AB17" i="31"/>
  <c r="Z18" i="31" s="1"/>
  <c r="AC17" i="31"/>
  <c r="J39" i="31"/>
  <c r="I38" i="31"/>
  <c r="S38" i="31" s="1"/>
  <c r="AL13" i="14"/>
  <c r="AN13" i="14" s="1"/>
  <c r="W15" i="8"/>
  <c r="X15" i="8" s="1"/>
  <c r="AB15" i="8" s="1"/>
  <c r="Z16" i="8" s="1"/>
  <c r="U15" i="18"/>
  <c r="AG14" i="18"/>
  <c r="AF14" i="18"/>
  <c r="AE14" i="18"/>
  <c r="AC14" i="18"/>
  <c r="AJ15" i="18"/>
  <c r="AB14" i="18"/>
  <c r="Z15" i="18" s="1"/>
  <c r="AA15" i="17"/>
  <c r="AM14" i="17"/>
  <c r="AI14" i="17"/>
  <c r="AK14" i="17"/>
  <c r="V15" i="17"/>
  <c r="AH15" i="17" s="1"/>
  <c r="AS15" i="17" s="1"/>
  <c r="I35" i="15"/>
  <c r="S35" i="15" s="1"/>
  <c r="J36" i="15"/>
  <c r="X14" i="15"/>
  <c r="U15" i="15" s="1"/>
  <c r="U15" i="14"/>
  <c r="AG14" i="14"/>
  <c r="AJ15" i="14"/>
  <c r="AF14" i="14"/>
  <c r="AE14" i="14"/>
  <c r="AB14" i="14"/>
  <c r="Z15" i="14" s="1"/>
  <c r="AC14" i="14"/>
  <c r="AL14" i="8"/>
  <c r="AN14" i="8" s="1"/>
  <c r="J40" i="31" l="1"/>
  <c r="I39" i="31"/>
  <c r="S39" i="31" s="1"/>
  <c r="AA18" i="31"/>
  <c r="AM17" i="31"/>
  <c r="AI17" i="31"/>
  <c r="AK17" i="31"/>
  <c r="V18" i="31"/>
  <c r="AH18" i="31" s="1"/>
  <c r="AS18" i="31" s="1"/>
  <c r="AG14" i="15"/>
  <c r="AG15" i="8"/>
  <c r="AJ16" i="8"/>
  <c r="U16" i="8"/>
  <c r="V16" i="8" s="1"/>
  <c r="AH16" i="8" s="1"/>
  <c r="AS16" i="8" s="1"/>
  <c r="AF15" i="8"/>
  <c r="AE15" i="8"/>
  <c r="AC15" i="8"/>
  <c r="AA16" i="8" s="1"/>
  <c r="AA15" i="18"/>
  <c r="AM14" i="18"/>
  <c r="AI14" i="18"/>
  <c r="AK14" i="18"/>
  <c r="V15" i="18"/>
  <c r="AH15" i="18" s="1"/>
  <c r="AS15" i="18" s="1"/>
  <c r="W15" i="17"/>
  <c r="X15" i="17" s="1"/>
  <c r="AL14" i="17"/>
  <c r="AN14" i="17" s="1"/>
  <c r="I36" i="15"/>
  <c r="S36" i="15" s="1"/>
  <c r="J37" i="15"/>
  <c r="AF14" i="15"/>
  <c r="AE14" i="15"/>
  <c r="AB14" i="15"/>
  <c r="Z15" i="15" s="1"/>
  <c r="AC14" i="15"/>
  <c r="AJ15" i="15"/>
  <c r="V15" i="14"/>
  <c r="AH15" i="14" s="1"/>
  <c r="AA15" i="14"/>
  <c r="AM14" i="14"/>
  <c r="AI14" i="14"/>
  <c r="AK14" i="14"/>
  <c r="AL17" i="31" l="1"/>
  <c r="AN17" i="31" s="1"/>
  <c r="X18" i="31"/>
  <c r="I40" i="31"/>
  <c r="S40" i="31" s="1"/>
  <c r="J41" i="31"/>
  <c r="AK15" i="8"/>
  <c r="AM15" i="8"/>
  <c r="AI15" i="8"/>
  <c r="W15" i="18"/>
  <c r="X15" i="18" s="1"/>
  <c r="AL14" i="18"/>
  <c r="AE15" i="17"/>
  <c r="U16" i="17"/>
  <c r="AJ16" i="17"/>
  <c r="AG15" i="17"/>
  <c r="AF15" i="17"/>
  <c r="AC15" i="17"/>
  <c r="AB15" i="17"/>
  <c r="Z16" i="17" s="1"/>
  <c r="I37" i="15"/>
  <c r="S37" i="15" s="1"/>
  <c r="J38" i="15"/>
  <c r="AA15" i="15"/>
  <c r="AM14" i="15"/>
  <c r="AK14" i="15"/>
  <c r="V15" i="15"/>
  <c r="AH15" i="15" s="1"/>
  <c r="AS15" i="15" s="1"/>
  <c r="AU15" i="15" s="1"/>
  <c r="AL14" i="14"/>
  <c r="W15" i="14"/>
  <c r="X15" i="14" s="1"/>
  <c r="W16" i="8"/>
  <c r="X16" i="8" s="1"/>
  <c r="AN14" i="18" l="1"/>
  <c r="AN14" i="14"/>
  <c r="J42" i="31"/>
  <c r="I41" i="31"/>
  <c r="S41" i="31" s="1"/>
  <c r="U19" i="31"/>
  <c r="AG18" i="31"/>
  <c r="AE18" i="31"/>
  <c r="AF18" i="31"/>
  <c r="AB18" i="31"/>
  <c r="Z19" i="31" s="1"/>
  <c r="AJ19" i="31"/>
  <c r="AC18" i="31"/>
  <c r="AL15" i="8"/>
  <c r="AN15" i="8" s="1"/>
  <c r="AE15" i="18"/>
  <c r="U16" i="18"/>
  <c r="AG15" i="18"/>
  <c r="AF15" i="18"/>
  <c r="AB15" i="18"/>
  <c r="Z16" i="18" s="1"/>
  <c r="AJ16" i="18"/>
  <c r="AC15" i="18"/>
  <c r="AA16" i="17"/>
  <c r="AM15" i="17"/>
  <c r="V16" i="17"/>
  <c r="AH16" i="17" s="1"/>
  <c r="AS16" i="17" s="1"/>
  <c r="AI15" i="17"/>
  <c r="AK15" i="17"/>
  <c r="I38" i="15"/>
  <c r="S38" i="15" s="1"/>
  <c r="J39" i="15"/>
  <c r="X15" i="15"/>
  <c r="U16" i="15" s="1"/>
  <c r="AE15" i="14"/>
  <c r="AB15" i="14"/>
  <c r="Z16" i="14" s="1"/>
  <c r="U16" i="14"/>
  <c r="AG15" i="14"/>
  <c r="AF15" i="14"/>
  <c r="AC15" i="14"/>
  <c r="AJ16" i="14"/>
  <c r="U17" i="8"/>
  <c r="AE16" i="8"/>
  <c r="AF16" i="8"/>
  <c r="AJ17" i="8"/>
  <c r="AG16" i="8"/>
  <c r="AB16" i="8"/>
  <c r="Z17" i="8" s="1"/>
  <c r="AC16" i="8"/>
  <c r="AI18" i="31" l="1"/>
  <c r="AK18" i="31"/>
  <c r="V19" i="31"/>
  <c r="AH19" i="31" s="1"/>
  <c r="AS19" i="31" s="1"/>
  <c r="AA19" i="31"/>
  <c r="AM18" i="31"/>
  <c r="I42" i="31"/>
  <c r="S42" i="31" s="1"/>
  <c r="J43" i="31"/>
  <c r="AG15" i="15"/>
  <c r="W16" i="17"/>
  <c r="X16" i="17" s="1"/>
  <c r="AA16" i="18"/>
  <c r="AM15" i="18"/>
  <c r="V16" i="18"/>
  <c r="AH16" i="18" s="1"/>
  <c r="AS16" i="18" s="1"/>
  <c r="AI15" i="18"/>
  <c r="AK15" i="18"/>
  <c r="AL15" i="17"/>
  <c r="AN15" i="17" s="1"/>
  <c r="I39" i="15"/>
  <c r="S39" i="15" s="1"/>
  <c r="AE15" i="15"/>
  <c r="AJ16" i="15"/>
  <c r="AF15" i="15"/>
  <c r="AB15" i="15"/>
  <c r="Z16" i="15" s="1"/>
  <c r="AC15" i="15"/>
  <c r="AA16" i="14"/>
  <c r="AM15" i="14"/>
  <c r="V16" i="14"/>
  <c r="AH16" i="14" s="1"/>
  <c r="AI15" i="14"/>
  <c r="AK15" i="14"/>
  <c r="AA17" i="8"/>
  <c r="AM16" i="8"/>
  <c r="AI16" i="8"/>
  <c r="AK16" i="8"/>
  <c r="V17" i="8"/>
  <c r="AH17" i="8" s="1"/>
  <c r="AS17" i="8" s="1"/>
  <c r="X19" i="31" l="1"/>
  <c r="J44" i="31"/>
  <c r="I43" i="31"/>
  <c r="S43" i="31" s="1"/>
  <c r="AL18" i="31"/>
  <c r="AN18" i="31" s="1"/>
  <c r="W16" i="18"/>
  <c r="X16" i="18" s="1"/>
  <c r="AL15" i="18"/>
  <c r="AN15" i="18" s="1"/>
  <c r="AG16" i="17"/>
  <c r="AF16" i="17"/>
  <c r="AE16" i="17"/>
  <c r="U17" i="17"/>
  <c r="AC16" i="17"/>
  <c r="AB16" i="17"/>
  <c r="Z17" i="17" s="1"/>
  <c r="AJ17" i="17"/>
  <c r="V16" i="15"/>
  <c r="AH16" i="15" s="1"/>
  <c r="AS16" i="15" s="1"/>
  <c r="AU16" i="15" s="1"/>
  <c r="AA16" i="15"/>
  <c r="AM15" i="15"/>
  <c r="AK15" i="15"/>
  <c r="AL15" i="14"/>
  <c r="AN15" i="14" s="1"/>
  <c r="W16" i="14"/>
  <c r="X16" i="14" s="1"/>
  <c r="W17" i="8"/>
  <c r="X17" i="8" s="1"/>
  <c r="AC17" i="8" s="1"/>
  <c r="AA18" i="8" s="1"/>
  <c r="AL16" i="8"/>
  <c r="AN16" i="8" s="1"/>
  <c r="I44" i="31" l="1"/>
  <c r="S44" i="31" s="1"/>
  <c r="J45" i="31"/>
  <c r="AG19" i="31"/>
  <c r="AF19" i="31"/>
  <c r="U20" i="31"/>
  <c r="AE19" i="31"/>
  <c r="AB19" i="31"/>
  <c r="Z20" i="31" s="1"/>
  <c r="AJ20" i="31"/>
  <c r="AC19" i="31"/>
  <c r="AB17" i="8"/>
  <c r="Z18" i="8" s="1"/>
  <c r="AJ17" i="18"/>
  <c r="AG16" i="18"/>
  <c r="AF16" i="18"/>
  <c r="AE16" i="18"/>
  <c r="U17" i="18"/>
  <c r="AB16" i="18"/>
  <c r="Z17" i="18" s="1"/>
  <c r="AC16" i="18"/>
  <c r="AA17" i="17"/>
  <c r="AM16" i="17"/>
  <c r="V17" i="17"/>
  <c r="AH17" i="17" s="1"/>
  <c r="AS17" i="17" s="1"/>
  <c r="AI16" i="17"/>
  <c r="AK16" i="17"/>
  <c r="X16" i="15"/>
  <c r="U17" i="15" s="1"/>
  <c r="AG16" i="14"/>
  <c r="AF16" i="14"/>
  <c r="AE16" i="14"/>
  <c r="U17" i="14"/>
  <c r="AJ17" i="14"/>
  <c r="AC16" i="14"/>
  <c r="AB16" i="14"/>
  <c r="Z17" i="14" s="1"/>
  <c r="U18" i="8"/>
  <c r="V18" i="8" s="1"/>
  <c r="AH18" i="8" s="1"/>
  <c r="AS18" i="8" s="1"/>
  <c r="AJ18" i="8"/>
  <c r="AF17" i="8"/>
  <c r="AE17" i="8"/>
  <c r="AG17" i="8"/>
  <c r="AM17" i="8"/>
  <c r="AI19" i="31" l="1"/>
  <c r="AK19" i="31"/>
  <c r="V20" i="31"/>
  <c r="AH20" i="31" s="1"/>
  <c r="AS20" i="31" s="1"/>
  <c r="I45" i="31"/>
  <c r="S45" i="31" s="1"/>
  <c r="J46" i="31"/>
  <c r="AA20" i="31"/>
  <c r="AM19" i="31"/>
  <c r="AG16" i="15"/>
  <c r="AK17" i="8"/>
  <c r="AI16" i="18"/>
  <c r="AK16" i="18"/>
  <c r="AA17" i="18"/>
  <c r="AM16" i="18"/>
  <c r="V17" i="18"/>
  <c r="AH17" i="18" s="1"/>
  <c r="AS17" i="18" s="1"/>
  <c r="AI17" i="8"/>
  <c r="AL16" i="17"/>
  <c r="AN16" i="17" s="1"/>
  <c r="W17" i="17"/>
  <c r="X17" i="17" s="1"/>
  <c r="AF16" i="15"/>
  <c r="AE16" i="15"/>
  <c r="AJ17" i="15"/>
  <c r="AB16" i="15"/>
  <c r="Z17" i="15" s="1"/>
  <c r="AC16" i="15"/>
  <c r="AA17" i="14"/>
  <c r="AM16" i="14"/>
  <c r="V17" i="14"/>
  <c r="AH17" i="14" s="1"/>
  <c r="AI16" i="14"/>
  <c r="AK16" i="14"/>
  <c r="W18" i="8"/>
  <c r="X18" i="8" s="1"/>
  <c r="J47" i="31" l="1"/>
  <c r="I46" i="31"/>
  <c r="S46" i="31" s="1"/>
  <c r="X20" i="31"/>
  <c r="AL19" i="31"/>
  <c r="AN19" i="31" s="1"/>
  <c r="W17" i="14"/>
  <c r="X17" i="14" s="1"/>
  <c r="W17" i="18"/>
  <c r="X17" i="18" s="1"/>
  <c r="AL17" i="8"/>
  <c r="AN17" i="8" s="1"/>
  <c r="AL16" i="18"/>
  <c r="AN16" i="18" s="1"/>
  <c r="U18" i="17"/>
  <c r="AG17" i="17"/>
  <c r="AF17" i="17"/>
  <c r="AE17" i="17"/>
  <c r="AJ18" i="17"/>
  <c r="AB17" i="17"/>
  <c r="Z18" i="17" s="1"/>
  <c r="AC17" i="17"/>
  <c r="AA17" i="15"/>
  <c r="AM16" i="15"/>
  <c r="V17" i="15"/>
  <c r="AH17" i="15" s="1"/>
  <c r="AS17" i="15" s="1"/>
  <c r="AU17" i="15" s="1"/>
  <c r="AK16" i="15"/>
  <c r="AL16" i="14"/>
  <c r="AN16" i="14" s="1"/>
  <c r="AG18" i="8"/>
  <c r="AE18" i="8"/>
  <c r="AF18" i="8"/>
  <c r="U19" i="8"/>
  <c r="AJ19" i="8"/>
  <c r="AC18" i="8"/>
  <c r="AB18" i="8"/>
  <c r="Z19" i="8" s="1"/>
  <c r="AG20" i="31" l="1"/>
  <c r="AE20" i="31"/>
  <c r="U21" i="31"/>
  <c r="AF20" i="31"/>
  <c r="AJ21" i="31"/>
  <c r="AB20" i="31"/>
  <c r="Z21" i="31" s="1"/>
  <c r="AC20" i="31"/>
  <c r="J48" i="31"/>
  <c r="I47" i="31"/>
  <c r="S47" i="31" s="1"/>
  <c r="U18" i="18"/>
  <c r="AG17" i="18"/>
  <c r="AF17" i="18"/>
  <c r="AE17" i="18"/>
  <c r="AC17" i="18"/>
  <c r="AJ18" i="18"/>
  <c r="AB17" i="18"/>
  <c r="Z18" i="18" s="1"/>
  <c r="AA18" i="17"/>
  <c r="AM17" i="17"/>
  <c r="AI17" i="17"/>
  <c r="AK17" i="17"/>
  <c r="V18" i="17"/>
  <c r="AH18" i="17" s="1"/>
  <c r="AS18" i="17" s="1"/>
  <c r="X17" i="15"/>
  <c r="U18" i="15" s="1"/>
  <c r="U18" i="14"/>
  <c r="AG17" i="14"/>
  <c r="AF17" i="14"/>
  <c r="AE17" i="14"/>
  <c r="AJ18" i="14"/>
  <c r="AC17" i="14"/>
  <c r="AB17" i="14"/>
  <c r="Z18" i="14" s="1"/>
  <c r="AA19" i="8"/>
  <c r="AM18" i="8"/>
  <c r="V19" i="8"/>
  <c r="AH19" i="8" s="1"/>
  <c r="AS19" i="8" s="1"/>
  <c r="AI18" i="8"/>
  <c r="AK18" i="8"/>
  <c r="AA21" i="31" l="1"/>
  <c r="AM20" i="31"/>
  <c r="I48" i="31"/>
  <c r="S48" i="31" s="1"/>
  <c r="J49" i="31"/>
  <c r="V21" i="31"/>
  <c r="AH21" i="31" s="1"/>
  <c r="AS21" i="31" s="1"/>
  <c r="AI20" i="31"/>
  <c r="AK20" i="31"/>
  <c r="AG17" i="15"/>
  <c r="AA18" i="18"/>
  <c r="AM17" i="18"/>
  <c r="AI17" i="18"/>
  <c r="AK17" i="18"/>
  <c r="V18" i="18"/>
  <c r="AH18" i="18" s="1"/>
  <c r="AS18" i="18" s="1"/>
  <c r="W18" i="17"/>
  <c r="X18" i="17" s="1"/>
  <c r="AC18" i="17" s="1"/>
  <c r="AA19" i="17" s="1"/>
  <c r="AL17" i="17"/>
  <c r="AF17" i="15"/>
  <c r="AE17" i="15"/>
  <c r="AB17" i="15"/>
  <c r="Z18" i="15" s="1"/>
  <c r="AJ18" i="15"/>
  <c r="AC17" i="15"/>
  <c r="AA18" i="14"/>
  <c r="AM17" i="14"/>
  <c r="AI17" i="14"/>
  <c r="AK17" i="14"/>
  <c r="V18" i="14"/>
  <c r="AH18" i="14" s="1"/>
  <c r="W19" i="8"/>
  <c r="X19" i="8" s="1"/>
  <c r="AG19" i="8" s="1"/>
  <c r="AL18" i="8"/>
  <c r="AN18" i="8" s="1"/>
  <c r="AN17" i="17" l="1"/>
  <c r="X21" i="31"/>
  <c r="AB21" i="31" s="1"/>
  <c r="Z22" i="31" s="1"/>
  <c r="AL20" i="31"/>
  <c r="AN20" i="31" s="1"/>
  <c r="I49" i="31"/>
  <c r="S49" i="31" s="1"/>
  <c r="J50" i="31"/>
  <c r="AB19" i="8"/>
  <c r="Z20" i="8" s="1"/>
  <c r="AC19" i="8"/>
  <c r="AA20" i="8" s="1"/>
  <c r="AF18" i="17"/>
  <c r="AG18" i="17"/>
  <c r="AB18" i="17"/>
  <c r="Z19" i="17" s="1"/>
  <c r="AJ19" i="17"/>
  <c r="U19" i="17"/>
  <c r="V19" i="17" s="1"/>
  <c r="AH19" i="17" s="1"/>
  <c r="AS19" i="17" s="1"/>
  <c r="AE18" i="17"/>
  <c r="AL17" i="18"/>
  <c r="AN17" i="18" s="1"/>
  <c r="W18" i="18"/>
  <c r="X18" i="18" s="1"/>
  <c r="AM18" i="17"/>
  <c r="AA18" i="15"/>
  <c r="AM17" i="15"/>
  <c r="AK17" i="15"/>
  <c r="V18" i="15"/>
  <c r="AH18" i="15" s="1"/>
  <c r="AS18" i="15" s="1"/>
  <c r="AU18" i="15" s="1"/>
  <c r="W18" i="14"/>
  <c r="X18" i="14" s="1"/>
  <c r="AG18" i="14" s="1"/>
  <c r="AL17" i="14"/>
  <c r="AN17" i="14" s="1"/>
  <c r="AF19" i="8"/>
  <c r="U20" i="8"/>
  <c r="V20" i="8" s="1"/>
  <c r="AH20" i="8" s="1"/>
  <c r="AS20" i="8" s="1"/>
  <c r="AE19" i="8"/>
  <c r="AJ20" i="8"/>
  <c r="AC21" i="31" l="1"/>
  <c r="AA22" i="31" s="1"/>
  <c r="AF21" i="31"/>
  <c r="AE21" i="31"/>
  <c r="AG21" i="31"/>
  <c r="U22" i="31"/>
  <c r="V22" i="31" s="1"/>
  <c r="AH22" i="31" s="1"/>
  <c r="AS22" i="31" s="1"/>
  <c r="AJ22" i="31"/>
  <c r="I50" i="31"/>
  <c r="S50" i="31" s="1"/>
  <c r="J51" i="31"/>
  <c r="AM19" i="8"/>
  <c r="AC18" i="14"/>
  <c r="AA19" i="14" s="1"/>
  <c r="AJ19" i="14"/>
  <c r="AB18" i="14"/>
  <c r="Z19" i="14" s="1"/>
  <c r="U19" i="14"/>
  <c r="V19" i="14" s="1"/>
  <c r="AE18" i="14"/>
  <c r="AF18" i="14"/>
  <c r="AK18" i="17"/>
  <c r="AI19" i="8"/>
  <c r="AK19" i="8"/>
  <c r="AI18" i="17"/>
  <c r="AG18" i="18"/>
  <c r="AJ19" i="18"/>
  <c r="AF18" i="18"/>
  <c r="AE18" i="18"/>
  <c r="U19" i="18"/>
  <c r="AB18" i="18"/>
  <c r="Z19" i="18" s="1"/>
  <c r="AC18" i="18"/>
  <c r="W19" i="17"/>
  <c r="X19" i="17" s="1"/>
  <c r="X18" i="15"/>
  <c r="U19" i="15" s="1"/>
  <c r="W20" i="8"/>
  <c r="X20" i="8" s="1"/>
  <c r="AM21" i="31" l="1"/>
  <c r="AK21" i="31"/>
  <c r="AI21" i="31"/>
  <c r="X22" i="31"/>
  <c r="J52" i="31"/>
  <c r="I51" i="31"/>
  <c r="S51" i="31" s="1"/>
  <c r="AB18" i="15"/>
  <c r="Z19" i="15" s="1"/>
  <c r="AG18" i="15"/>
  <c r="AC18" i="15"/>
  <c r="AA19" i="15" s="1"/>
  <c r="AF18" i="15"/>
  <c r="AM18" i="14"/>
  <c r="AL18" i="17"/>
  <c r="AN18" i="17" s="1"/>
  <c r="AH19" i="14"/>
  <c r="W19" i="14"/>
  <c r="X19" i="14" s="1"/>
  <c r="AI18" i="14"/>
  <c r="AK18" i="14"/>
  <c r="AL19" i="8"/>
  <c r="AA19" i="18"/>
  <c r="AM18" i="18"/>
  <c r="V19" i="18"/>
  <c r="AH19" i="18" s="1"/>
  <c r="AS19" i="18" s="1"/>
  <c r="AI18" i="18"/>
  <c r="AK18" i="18"/>
  <c r="U20" i="17"/>
  <c r="AG19" i="17"/>
  <c r="AF19" i="17"/>
  <c r="AE19" i="17"/>
  <c r="AJ20" i="17"/>
  <c r="AC19" i="17"/>
  <c r="AB19" i="17"/>
  <c r="Z20" i="17" s="1"/>
  <c r="AJ19" i="15"/>
  <c r="V19" i="15"/>
  <c r="AH19" i="15" s="1"/>
  <c r="AS19" i="15" s="1"/>
  <c r="AU19" i="15" s="1"/>
  <c r="AE18" i="15"/>
  <c r="AF20" i="8"/>
  <c r="AJ21" i="8"/>
  <c r="AG20" i="8"/>
  <c r="AE20" i="8"/>
  <c r="U21" i="8"/>
  <c r="AC20" i="8"/>
  <c r="AB20" i="8"/>
  <c r="Z21" i="8" s="1"/>
  <c r="AN19" i="8" l="1"/>
  <c r="AL21" i="31"/>
  <c r="AN21" i="31" s="1"/>
  <c r="I52" i="31"/>
  <c r="S52" i="31" s="1"/>
  <c r="J53" i="31"/>
  <c r="U23" i="31"/>
  <c r="AE22" i="31"/>
  <c r="AC22" i="31"/>
  <c r="AF22" i="31"/>
  <c r="AB22" i="31"/>
  <c r="Z23" i="31" s="1"/>
  <c r="AG22" i="31"/>
  <c r="AJ23" i="31"/>
  <c r="AM18" i="15"/>
  <c r="W19" i="18"/>
  <c r="X19" i="18" s="1"/>
  <c r="AL18" i="14"/>
  <c r="AN18" i="14" s="1"/>
  <c r="AL18" i="18"/>
  <c r="AN18" i="18" s="1"/>
  <c r="AA20" i="17"/>
  <c r="AM19" i="17"/>
  <c r="AI19" i="17"/>
  <c r="AK19" i="17"/>
  <c r="V20" i="17"/>
  <c r="AH20" i="17" s="1"/>
  <c r="AS20" i="17" s="1"/>
  <c r="AK18" i="15"/>
  <c r="X19" i="15"/>
  <c r="U20" i="15" s="1"/>
  <c r="U20" i="14"/>
  <c r="AG19" i="14"/>
  <c r="AF19" i="14"/>
  <c r="AE19" i="14"/>
  <c r="AJ20" i="14"/>
  <c r="AC19" i="14"/>
  <c r="AB19" i="14"/>
  <c r="Z20" i="14" s="1"/>
  <c r="AA21" i="8"/>
  <c r="AM20" i="8"/>
  <c r="V21" i="8"/>
  <c r="AH21" i="8" s="1"/>
  <c r="AS21" i="8" s="1"/>
  <c r="AI20" i="8"/>
  <c r="AK20" i="8"/>
  <c r="AI22" i="31" l="1"/>
  <c r="AK22" i="31"/>
  <c r="V23" i="31"/>
  <c r="AH23" i="31" s="1"/>
  <c r="AS23" i="31" s="1"/>
  <c r="I53" i="31"/>
  <c r="S53" i="31" s="1"/>
  <c r="J54" i="31"/>
  <c r="AA23" i="31"/>
  <c r="AM22" i="31"/>
  <c r="AG19" i="15"/>
  <c r="W20" i="17"/>
  <c r="X20" i="17" s="1"/>
  <c r="AG20" i="17" s="1"/>
  <c r="U20" i="18"/>
  <c r="AG19" i="18"/>
  <c r="AF19" i="18"/>
  <c r="AE19" i="18"/>
  <c r="AC19" i="18"/>
  <c r="AJ20" i="18"/>
  <c r="AB19" i="18"/>
  <c r="Z20" i="18" s="1"/>
  <c r="AL20" i="8"/>
  <c r="AN20" i="8" s="1"/>
  <c r="AL19" i="17"/>
  <c r="AL31" i="17" s="1"/>
  <c r="AF19" i="15"/>
  <c r="AE19" i="15"/>
  <c r="AB19" i="15"/>
  <c r="Z20" i="15" s="1"/>
  <c r="AJ20" i="15"/>
  <c r="AC19" i="15"/>
  <c r="AA20" i="14"/>
  <c r="AM19" i="14"/>
  <c r="AI19" i="14"/>
  <c r="AK19" i="14"/>
  <c r="V20" i="14"/>
  <c r="AH20" i="14" s="1"/>
  <c r="W21" i="8"/>
  <c r="X21" i="8" s="1"/>
  <c r="AN19" i="17" l="1"/>
  <c r="AP4" i="17"/>
  <c r="AL22" i="31"/>
  <c r="AN22" i="31" s="1"/>
  <c r="X23" i="31"/>
  <c r="I54" i="31"/>
  <c r="S54" i="31" s="1"/>
  <c r="J55" i="31"/>
  <c r="AC20" i="17"/>
  <c r="AA21" i="17" s="1"/>
  <c r="AJ21" i="17"/>
  <c r="AB20" i="17"/>
  <c r="Z21" i="17" s="1"/>
  <c r="U21" i="17"/>
  <c r="V21" i="17" s="1"/>
  <c r="AH21" i="17" s="1"/>
  <c r="AS21" i="17" s="1"/>
  <c r="AE20" i="17"/>
  <c r="AF20" i="17"/>
  <c r="AI19" i="18"/>
  <c r="AK19" i="18"/>
  <c r="V20" i="18"/>
  <c r="AH20" i="18" s="1"/>
  <c r="AS20" i="18" s="1"/>
  <c r="AA20" i="18"/>
  <c r="AM19" i="18"/>
  <c r="AA20" i="15"/>
  <c r="AM19" i="15"/>
  <c r="AK19" i="15"/>
  <c r="V20" i="15"/>
  <c r="AH20" i="15" s="1"/>
  <c r="AS20" i="15" s="1"/>
  <c r="AU20" i="15" s="1"/>
  <c r="W20" i="14"/>
  <c r="X20" i="14" s="1"/>
  <c r="AG20" i="14" s="1"/>
  <c r="AL19" i="14"/>
  <c r="AG21" i="8"/>
  <c r="AJ22" i="8"/>
  <c r="U22" i="8"/>
  <c r="AE21" i="8"/>
  <c r="AF21" i="8"/>
  <c r="AB21" i="8"/>
  <c r="Z22" i="8" s="1"/>
  <c r="AC21" i="8"/>
  <c r="AN19" i="14" l="1"/>
  <c r="AQ4" i="14"/>
  <c r="I55" i="31"/>
  <c r="S55" i="31" s="1"/>
  <c r="J56" i="31"/>
  <c r="AG23" i="31"/>
  <c r="AF23" i="31"/>
  <c r="U24" i="31"/>
  <c r="AE23" i="31"/>
  <c r="AC23" i="31"/>
  <c r="AB23" i="31"/>
  <c r="Z24" i="31" s="1"/>
  <c r="AJ24" i="31"/>
  <c r="X20" i="15"/>
  <c r="U21" i="15" s="1"/>
  <c r="AJ21" i="14"/>
  <c r="U21" i="14"/>
  <c r="V21" i="14" s="1"/>
  <c r="AH21" i="14" s="1"/>
  <c r="AB20" i="14"/>
  <c r="Z21" i="14" s="1"/>
  <c r="AE20" i="14"/>
  <c r="AF20" i="14"/>
  <c r="AC20" i="14"/>
  <c r="AA21" i="14" s="1"/>
  <c r="AM20" i="17"/>
  <c r="AK20" i="17"/>
  <c r="AI20" i="17"/>
  <c r="W20" i="18"/>
  <c r="X20" i="18" s="1"/>
  <c r="AL19" i="18"/>
  <c r="W21" i="17"/>
  <c r="X21" i="17" s="1"/>
  <c r="AA22" i="8"/>
  <c r="AM21" i="8"/>
  <c r="AI21" i="8"/>
  <c r="AK21" i="8"/>
  <c r="V22" i="8"/>
  <c r="AH22" i="8" s="1"/>
  <c r="AS22" i="8" s="1"/>
  <c r="AN19" i="18" l="1"/>
  <c r="AQ4" i="18"/>
  <c r="AA24" i="31"/>
  <c r="AM23" i="31"/>
  <c r="I56" i="31"/>
  <c r="S56" i="31" s="1"/>
  <c r="J57" i="31"/>
  <c r="AI23" i="31"/>
  <c r="AK23" i="31"/>
  <c r="V24" i="31"/>
  <c r="AH24" i="31" s="1"/>
  <c r="AS24" i="31" s="1"/>
  <c r="AT28" i="31" s="1"/>
  <c r="AF20" i="15"/>
  <c r="AC20" i="15"/>
  <c r="AA21" i="15" s="1"/>
  <c r="AG20" i="15"/>
  <c r="AE20" i="15"/>
  <c r="V21" i="15"/>
  <c r="AH21" i="15" s="1"/>
  <c r="AS21" i="15" s="1"/>
  <c r="AU21" i="15" s="1"/>
  <c r="AJ21" i="15"/>
  <c r="AB20" i="15"/>
  <c r="Z21" i="15" s="1"/>
  <c r="AI20" i="14"/>
  <c r="AK20" i="14"/>
  <c r="AM20" i="14"/>
  <c r="AL20" i="17"/>
  <c r="AN20" i="17" s="1"/>
  <c r="W22" i="8"/>
  <c r="X22" i="8" s="1"/>
  <c r="AL21" i="8"/>
  <c r="AN21" i="8" s="1"/>
  <c r="AJ21" i="18"/>
  <c r="AG20" i="18"/>
  <c r="AF20" i="18"/>
  <c r="AE20" i="18"/>
  <c r="U21" i="18"/>
  <c r="AB20" i="18"/>
  <c r="Z21" i="18" s="1"/>
  <c r="AC20" i="18"/>
  <c r="U22" i="17"/>
  <c r="AG21" i="17"/>
  <c r="AJ22" i="17"/>
  <c r="AF21" i="17"/>
  <c r="AE21" i="17"/>
  <c r="AB21" i="17"/>
  <c r="Z22" i="17" s="1"/>
  <c r="AC21" i="17"/>
  <c r="W21" i="14"/>
  <c r="X21" i="14" s="1"/>
  <c r="X24" i="31" l="1"/>
  <c r="AG24" i="31" s="1"/>
  <c r="AL23" i="31"/>
  <c r="AN23" i="31" s="1"/>
  <c r="I57" i="31"/>
  <c r="S57" i="31" s="1"/>
  <c r="J58" i="31"/>
  <c r="AK20" i="15"/>
  <c r="AM20" i="15"/>
  <c r="AL20" i="14"/>
  <c r="AN20" i="14" s="1"/>
  <c r="U23" i="8"/>
  <c r="V23" i="8" s="1"/>
  <c r="AH23" i="8" s="1"/>
  <c r="AS23" i="8" s="1"/>
  <c r="AG22" i="8"/>
  <c r="AC22" i="8"/>
  <c r="AA23" i="8" s="1"/>
  <c r="AB22" i="8"/>
  <c r="Z23" i="8" s="1"/>
  <c r="AJ23" i="8"/>
  <c r="AE22" i="8"/>
  <c r="AF22" i="8"/>
  <c r="AA21" i="18"/>
  <c r="AM20" i="18"/>
  <c r="V21" i="18"/>
  <c r="AH21" i="18" s="1"/>
  <c r="AS21" i="18" s="1"/>
  <c r="AI20" i="18"/>
  <c r="AK20" i="18"/>
  <c r="AA22" i="17"/>
  <c r="AM21" i="17"/>
  <c r="AI21" i="17"/>
  <c r="AK21" i="17"/>
  <c r="V22" i="17"/>
  <c r="AH22" i="17" s="1"/>
  <c r="AS22" i="17" s="1"/>
  <c r="X21" i="15"/>
  <c r="U22" i="15" s="1"/>
  <c r="U22" i="14"/>
  <c r="AG21" i="14"/>
  <c r="AF21" i="14"/>
  <c r="AE21" i="14"/>
  <c r="AJ22" i="14"/>
  <c r="AC21" i="14"/>
  <c r="AB21" i="14"/>
  <c r="Z22" i="14" s="1"/>
  <c r="AJ25" i="31" l="1"/>
  <c r="AF24" i="31"/>
  <c r="AF106" i="31" s="1"/>
  <c r="U25" i="31"/>
  <c r="V25" i="31" s="1"/>
  <c r="AH25" i="31" s="1"/>
  <c r="AE24" i="31"/>
  <c r="AE106" i="31" s="1"/>
  <c r="AC24" i="31"/>
  <c r="AA25" i="31" s="1"/>
  <c r="AB24" i="31"/>
  <c r="Z25" i="31" s="1"/>
  <c r="J59" i="31"/>
  <c r="I58" i="31"/>
  <c r="S58" i="31" s="1"/>
  <c r="AG21" i="15"/>
  <c r="AM22" i="8"/>
  <c r="W22" i="17"/>
  <c r="X22" i="17" s="1"/>
  <c r="AF22" i="17" s="1"/>
  <c r="AI22" i="8"/>
  <c r="AK22" i="8"/>
  <c r="AL20" i="18"/>
  <c r="AN20" i="18" s="1"/>
  <c r="W21" i="18"/>
  <c r="X21" i="18" s="1"/>
  <c r="AL21" i="17"/>
  <c r="AN21" i="17" s="1"/>
  <c r="AF21" i="15"/>
  <c r="AE21" i="15"/>
  <c r="AJ22" i="15"/>
  <c r="AB21" i="15"/>
  <c r="Z22" i="15" s="1"/>
  <c r="AC21" i="15"/>
  <c r="AA22" i="14"/>
  <c r="AM21" i="14"/>
  <c r="AI21" i="14"/>
  <c r="AK21" i="14"/>
  <c r="V22" i="14"/>
  <c r="AH22" i="14" s="1"/>
  <c r="W23" i="8"/>
  <c r="X23" i="8" s="1"/>
  <c r="AF107" i="31" l="1"/>
  <c r="AF103" i="31"/>
  <c r="AE107" i="31"/>
  <c r="AK25" i="31"/>
  <c r="AI24" i="31"/>
  <c r="AE103" i="31"/>
  <c r="AM24" i="31"/>
  <c r="AK24" i="31"/>
  <c r="X25" i="31"/>
  <c r="I59" i="31"/>
  <c r="S59" i="31" s="1"/>
  <c r="J60" i="31"/>
  <c r="W22" i="14"/>
  <c r="X22" i="14" s="1"/>
  <c r="AC22" i="14" s="1"/>
  <c r="AA23" i="14" s="1"/>
  <c r="AG22" i="17"/>
  <c r="AC22" i="17"/>
  <c r="AA23" i="17" s="1"/>
  <c r="AJ23" i="17"/>
  <c r="AB22" i="17"/>
  <c r="Z23" i="17" s="1"/>
  <c r="U23" i="17"/>
  <c r="V23" i="17" s="1"/>
  <c r="AH23" i="17" s="1"/>
  <c r="AS23" i="17" s="1"/>
  <c r="AE22" i="17"/>
  <c r="AL22" i="8"/>
  <c r="U22" i="18"/>
  <c r="AG21" i="18"/>
  <c r="AJ22" i="18"/>
  <c r="AF21" i="18"/>
  <c r="AE21" i="18"/>
  <c r="AC21" i="18"/>
  <c r="AB21" i="18"/>
  <c r="Z22" i="18" s="1"/>
  <c r="AA22" i="15"/>
  <c r="AM21" i="15"/>
  <c r="AK21" i="15"/>
  <c r="V22" i="15"/>
  <c r="AH22" i="15" s="1"/>
  <c r="AS22" i="15" s="1"/>
  <c r="AU22" i="15" s="1"/>
  <c r="AL21" i="14"/>
  <c r="AN21" i="14" s="1"/>
  <c r="U24" i="8"/>
  <c r="AJ24" i="8"/>
  <c r="AG23" i="8"/>
  <c r="AE23" i="8"/>
  <c r="AF23" i="8"/>
  <c r="AB23" i="8"/>
  <c r="Z24" i="8" s="1"/>
  <c r="AC23" i="8"/>
  <c r="AN22" i="8" l="1"/>
  <c r="AP31" i="8"/>
  <c r="AL24" i="31"/>
  <c r="I60" i="31"/>
  <c r="S60" i="31" s="1"/>
  <c r="J61" i="31"/>
  <c r="U26" i="31"/>
  <c r="AJ26" i="31"/>
  <c r="AG25" i="31"/>
  <c r="AI25" i="31" s="1"/>
  <c r="AL25" i="31" s="1"/>
  <c r="AB25" i="31"/>
  <c r="Z26" i="31" s="1"/>
  <c r="AC25" i="31"/>
  <c r="AB22" i="14"/>
  <c r="Z23" i="14" s="1"/>
  <c r="AJ23" i="14"/>
  <c r="AF22" i="14"/>
  <c r="AE22" i="14"/>
  <c r="AG22" i="14"/>
  <c r="U23" i="14"/>
  <c r="V23" i="14" s="1"/>
  <c r="AH23" i="14" s="1"/>
  <c r="AI22" i="17"/>
  <c r="AM22" i="17"/>
  <c r="AK22" i="17"/>
  <c r="AI21" i="18"/>
  <c r="AK21" i="18"/>
  <c r="AA22" i="18"/>
  <c r="AM21" i="18"/>
  <c r="V22" i="18"/>
  <c r="AH22" i="18" s="1"/>
  <c r="AS22" i="18" s="1"/>
  <c r="W23" i="17"/>
  <c r="X23" i="17" s="1"/>
  <c r="X22" i="15"/>
  <c r="U23" i="15" s="1"/>
  <c r="AM22" i="14"/>
  <c r="AA24" i="8"/>
  <c r="AM23" i="8"/>
  <c r="AI23" i="8"/>
  <c r="AK23" i="8"/>
  <c r="AJ32" i="8"/>
  <c r="AJ28" i="8"/>
  <c r="AJ31" i="8"/>
  <c r="V24" i="8"/>
  <c r="AH24" i="8" s="1"/>
  <c r="AS24" i="8" s="1"/>
  <c r="AT28" i="8" s="1"/>
  <c r="AN24" i="31" l="1"/>
  <c r="AA26" i="31"/>
  <c r="AK26" i="31" s="1"/>
  <c r="AM25" i="31"/>
  <c r="AN25" i="31" s="1"/>
  <c r="V26" i="31"/>
  <c r="AH26" i="31" s="1"/>
  <c r="J62" i="31"/>
  <c r="I61" i="31"/>
  <c r="S61" i="31" s="1"/>
  <c r="AB22" i="15"/>
  <c r="Z23" i="15" s="1"/>
  <c r="AG22" i="15"/>
  <c r="AJ23" i="15"/>
  <c r="AF22" i="15"/>
  <c r="AC22" i="15"/>
  <c r="AA23" i="15" s="1"/>
  <c r="V23" i="15"/>
  <c r="AH23" i="15" s="1"/>
  <c r="AS23" i="15" s="1"/>
  <c r="AU23" i="15" s="1"/>
  <c r="AE22" i="15"/>
  <c r="W22" i="18"/>
  <c r="X22" i="18" s="1"/>
  <c r="AB22" i="18" s="1"/>
  <c r="Z23" i="18" s="1"/>
  <c r="AK22" i="14"/>
  <c r="AI22" i="14"/>
  <c r="AL22" i="17"/>
  <c r="AL21" i="18"/>
  <c r="AN21" i="18" s="1"/>
  <c r="AL23" i="8"/>
  <c r="AN23" i="8" s="1"/>
  <c r="U24" i="17"/>
  <c r="AG23" i="17"/>
  <c r="AF23" i="17"/>
  <c r="AE23" i="17"/>
  <c r="AB23" i="17"/>
  <c r="Z24" i="17" s="1"/>
  <c r="AJ24" i="17"/>
  <c r="AJ31" i="17" s="1"/>
  <c r="AC23" i="17"/>
  <c r="W23" i="14"/>
  <c r="X23" i="14" s="1"/>
  <c r="W24" i="8"/>
  <c r="X24" i="8" s="1"/>
  <c r="AC24" i="8" s="1"/>
  <c r="AM24" i="8" s="1"/>
  <c r="AH31" i="8"/>
  <c r="AH28" i="8"/>
  <c r="AH32" i="8"/>
  <c r="AN22" i="17" l="1"/>
  <c r="X26" i="31"/>
  <c r="I62" i="31"/>
  <c r="S62" i="31" s="1"/>
  <c r="J63" i="31"/>
  <c r="AK22" i="15"/>
  <c r="AM22" i="15"/>
  <c r="AE22" i="18"/>
  <c r="AF22" i="18"/>
  <c r="AJ23" i="18"/>
  <c r="U23" i="18"/>
  <c r="V23" i="18" s="1"/>
  <c r="AH23" i="18" s="1"/>
  <c r="AS23" i="18" s="1"/>
  <c r="AC22" i="18"/>
  <c r="AA23" i="18" s="1"/>
  <c r="AG22" i="18"/>
  <c r="AL22" i="14"/>
  <c r="AN22" i="14" s="1"/>
  <c r="AB24" i="8"/>
  <c r="AG24" i="8"/>
  <c r="AG31" i="8" s="1"/>
  <c r="AF24" i="8"/>
  <c r="AF28" i="8" s="1"/>
  <c r="AA24" i="17"/>
  <c r="AM23" i="17"/>
  <c r="AJ28" i="17"/>
  <c r="AJ32" i="17"/>
  <c r="AI23" i="17"/>
  <c r="AK23" i="17"/>
  <c r="V24" i="17"/>
  <c r="AH24" i="17" s="1"/>
  <c r="X23" i="15"/>
  <c r="U24" i="15" s="1"/>
  <c r="U24" i="14"/>
  <c r="AG23" i="14"/>
  <c r="AF23" i="14"/>
  <c r="AE23" i="14"/>
  <c r="AJ24" i="14"/>
  <c r="AC23" i="14"/>
  <c r="AB23" i="14"/>
  <c r="Z24" i="14" s="1"/>
  <c r="AE24" i="8"/>
  <c r="AM31" i="8"/>
  <c r="AM28" i="8"/>
  <c r="AM32" i="8"/>
  <c r="AS24" i="17" l="1"/>
  <c r="AT28" i="17" s="1"/>
  <c r="AH31" i="17"/>
  <c r="AH28" i="17"/>
  <c r="I63" i="31"/>
  <c r="S63" i="31" s="1"/>
  <c r="J64" i="31"/>
  <c r="AG26" i="31"/>
  <c r="AI26" i="31" s="1"/>
  <c r="AL26" i="31" s="1"/>
  <c r="AJ27" i="31"/>
  <c r="U27" i="31"/>
  <c r="AC26" i="31"/>
  <c r="AB26" i="31"/>
  <c r="Z27" i="31" s="1"/>
  <c r="AG23" i="15"/>
  <c r="AM22" i="18"/>
  <c r="AK22" i="18"/>
  <c r="AI22" i="18"/>
  <c r="W23" i="18"/>
  <c r="X23" i="18" s="1"/>
  <c r="U24" i="18" s="1"/>
  <c r="AK24" i="8"/>
  <c r="AK28" i="8" s="1"/>
  <c r="AF31" i="8"/>
  <c r="AG28" i="8"/>
  <c r="AE31" i="8"/>
  <c r="AG32" i="8"/>
  <c r="AF32" i="8"/>
  <c r="AE32" i="8"/>
  <c r="AE28" i="8"/>
  <c r="AI24" i="8"/>
  <c r="W24" i="17"/>
  <c r="X24" i="17" s="1"/>
  <c r="AF24" i="17" s="1"/>
  <c r="AF31" i="17" s="1"/>
  <c r="AL23" i="17"/>
  <c r="AN23" i="17" s="1"/>
  <c r="AH32" i="17"/>
  <c r="AF23" i="15"/>
  <c r="AE23" i="15"/>
  <c r="AJ24" i="15"/>
  <c r="AB23" i="15"/>
  <c r="Z24" i="15" s="1"/>
  <c r="AC23" i="15"/>
  <c r="AA24" i="14"/>
  <c r="AM23" i="14"/>
  <c r="AJ28" i="14"/>
  <c r="AJ32" i="14"/>
  <c r="AJ31" i="14"/>
  <c r="AI23" i="14"/>
  <c r="AK23" i="14"/>
  <c r="V24" i="14"/>
  <c r="AH24" i="14" s="1"/>
  <c r="V27" i="31" l="1"/>
  <c r="AH27" i="31" s="1"/>
  <c r="AA27" i="31"/>
  <c r="AK27" i="31" s="1"/>
  <c r="AM26" i="31"/>
  <c r="AN26" i="31" s="1"/>
  <c r="I64" i="31"/>
  <c r="S64" i="31" s="1"/>
  <c r="AL22" i="18"/>
  <c r="AN22" i="18" s="1"/>
  <c r="AK31" i="8"/>
  <c r="AC23" i="18"/>
  <c r="AA24" i="18" s="1"/>
  <c r="AJ24" i="18"/>
  <c r="AJ28" i="18" s="1"/>
  <c r="AB23" i="18"/>
  <c r="Z24" i="18" s="1"/>
  <c r="AE23" i="18"/>
  <c r="AF23" i="18"/>
  <c r="AG23" i="18"/>
  <c r="AK32" i="8"/>
  <c r="AL24" i="8"/>
  <c r="AI32" i="8"/>
  <c r="AI31" i="8"/>
  <c r="AC24" i="17"/>
  <c r="AM24" i="17" s="1"/>
  <c r="AM31" i="17" s="1"/>
  <c r="AB24" i="17"/>
  <c r="AE24" i="17"/>
  <c r="AE28" i="17" s="1"/>
  <c r="AI28" i="8"/>
  <c r="AG24" i="17"/>
  <c r="V24" i="18"/>
  <c r="AH24" i="18" s="1"/>
  <c r="AF32" i="17"/>
  <c r="AF28" i="17"/>
  <c r="AK23" i="15"/>
  <c r="AA24" i="15"/>
  <c r="AM23" i="15"/>
  <c r="V24" i="15"/>
  <c r="AH24" i="15" s="1"/>
  <c r="AS24" i="15" s="1"/>
  <c r="W24" i="14"/>
  <c r="X24" i="14" s="1"/>
  <c r="AF24" i="14" s="1"/>
  <c r="AL23" i="14"/>
  <c r="AN23" i="14" s="1"/>
  <c r="AH28" i="14"/>
  <c r="AH32" i="14"/>
  <c r="AH31" i="14"/>
  <c r="AN24" i="8" l="1"/>
  <c r="AL31" i="8"/>
  <c r="AP4" i="8" s="1"/>
  <c r="AU24" i="15"/>
  <c r="AT28" i="15"/>
  <c r="AS24" i="18"/>
  <c r="AT28" i="18" s="1"/>
  <c r="X27" i="31"/>
  <c r="AJ32" i="18"/>
  <c r="AJ31" i="18"/>
  <c r="W24" i="18"/>
  <c r="X24" i="18" s="1"/>
  <c r="AB24" i="18" s="1"/>
  <c r="AM23" i="18"/>
  <c r="AK23" i="18"/>
  <c r="AG24" i="14"/>
  <c r="AG28" i="14" s="1"/>
  <c r="AM32" i="17"/>
  <c r="AL32" i="8"/>
  <c r="AL28" i="8"/>
  <c r="AE24" i="14"/>
  <c r="AE31" i="14" s="1"/>
  <c r="AI23" i="18"/>
  <c r="AC24" i="14"/>
  <c r="AM24" i="14" s="1"/>
  <c r="AM31" i="14" s="1"/>
  <c r="AB24" i="14"/>
  <c r="AE32" i="17"/>
  <c r="AM28" i="17"/>
  <c r="AK24" i="17"/>
  <c r="AK31" i="17" s="1"/>
  <c r="AE31" i="17"/>
  <c r="AG32" i="17"/>
  <c r="AG31" i="17"/>
  <c r="AI24" i="17"/>
  <c r="AI31" i="17" s="1"/>
  <c r="AG28" i="17"/>
  <c r="AH32" i="18"/>
  <c r="AH28" i="18"/>
  <c r="AH31" i="18"/>
  <c r="X24" i="15"/>
  <c r="U25" i="15" s="1"/>
  <c r="AF32" i="14"/>
  <c r="AF28" i="14"/>
  <c r="AF31" i="14"/>
  <c r="AN28" i="8"/>
  <c r="AN31" i="8"/>
  <c r="AP6" i="8" s="1"/>
  <c r="AN32" i="8"/>
  <c r="C25" i="8" l="1"/>
  <c r="U28" i="31"/>
  <c r="AG27" i="31"/>
  <c r="AI27" i="31" s="1"/>
  <c r="AL27" i="31" s="1"/>
  <c r="AJ28" i="31"/>
  <c r="AC27" i="31"/>
  <c r="AB27" i="31"/>
  <c r="Z28" i="31" s="1"/>
  <c r="AF24" i="15"/>
  <c r="AF103" i="15" s="1"/>
  <c r="AG24" i="15"/>
  <c r="AC24" i="15"/>
  <c r="AM24" i="15" s="1"/>
  <c r="AB24" i="15"/>
  <c r="Z25" i="15" s="1"/>
  <c r="AE24" i="15"/>
  <c r="AE24" i="18"/>
  <c r="AE28" i="18" s="1"/>
  <c r="AC24" i="18"/>
  <c r="AM24" i="18" s="1"/>
  <c r="AM28" i="18" s="1"/>
  <c r="AG24" i="18"/>
  <c r="AG28" i="18" s="1"/>
  <c r="AF24" i="18"/>
  <c r="AL23" i="18"/>
  <c r="AN23" i="18" s="1"/>
  <c r="AG31" i="14"/>
  <c r="AG32" i="14"/>
  <c r="AM32" i="14"/>
  <c r="AK24" i="14"/>
  <c r="AK31" i="14" s="1"/>
  <c r="AE32" i="14"/>
  <c r="AI24" i="14"/>
  <c r="AE28" i="14"/>
  <c r="AM28" i="14"/>
  <c r="AK28" i="17"/>
  <c r="AK32" i="17"/>
  <c r="AL24" i="17"/>
  <c r="AI28" i="17"/>
  <c r="AI32" i="17"/>
  <c r="V25" i="15"/>
  <c r="AJ25" i="15"/>
  <c r="AE107" i="15" l="1"/>
  <c r="AE106" i="15"/>
  <c r="C25" i="17"/>
  <c r="AA28" i="31"/>
  <c r="AM27" i="31"/>
  <c r="AN27" i="31" s="1"/>
  <c r="V28" i="31"/>
  <c r="AH28" i="31" s="1"/>
  <c r="AF107" i="15"/>
  <c r="AF106" i="15"/>
  <c r="AK24" i="15"/>
  <c r="AA25" i="15"/>
  <c r="AK25" i="15" s="1"/>
  <c r="AE32" i="18"/>
  <c r="AK24" i="18"/>
  <c r="AK32" i="18" s="1"/>
  <c r="AE31" i="18"/>
  <c r="AM32" i="18"/>
  <c r="AM31" i="18"/>
  <c r="AG32" i="18"/>
  <c r="AG31" i="18"/>
  <c r="AI24" i="18"/>
  <c r="AI31" i="18" s="1"/>
  <c r="AF32" i="18"/>
  <c r="AF28" i="18"/>
  <c r="AF31" i="18"/>
  <c r="AK32" i="14"/>
  <c r="AL24" i="14"/>
  <c r="AL32" i="14" s="1"/>
  <c r="AI31" i="14"/>
  <c r="AK28" i="14"/>
  <c r="AI28" i="14"/>
  <c r="AI32" i="14"/>
  <c r="AL32" i="17"/>
  <c r="AL28" i="17"/>
  <c r="AN24" i="17"/>
  <c r="AN31" i="17" s="1"/>
  <c r="AP6" i="17" s="1"/>
  <c r="X25" i="15"/>
  <c r="U26" i="15" s="1"/>
  <c r="AH25" i="15"/>
  <c r="X28" i="31" l="1"/>
  <c r="U29" i="31" s="1"/>
  <c r="AK28" i="31"/>
  <c r="AG25" i="15"/>
  <c r="V26" i="15"/>
  <c r="AK31" i="18"/>
  <c r="AL24" i="18"/>
  <c r="AL31" i="18" s="1"/>
  <c r="AP4" i="18" s="1"/>
  <c r="C25" i="18" s="1"/>
  <c r="AK28" i="18"/>
  <c r="AI32" i="18"/>
  <c r="AI28" i="18"/>
  <c r="AL31" i="14"/>
  <c r="AP4" i="14" s="1"/>
  <c r="C25" i="14" s="1"/>
  <c r="AN24" i="14"/>
  <c r="AN31" i="14" s="1"/>
  <c r="AP6" i="14" s="1"/>
  <c r="AL28" i="14"/>
  <c r="AN28" i="17"/>
  <c r="AN32" i="17"/>
  <c r="AC25" i="15"/>
  <c r="AJ26" i="15"/>
  <c r="AB25" i="15"/>
  <c r="Z26" i="15" s="1"/>
  <c r="AB28" i="31" l="1"/>
  <c r="Z29" i="31" s="1"/>
  <c r="AC28" i="31"/>
  <c r="AA29" i="31" s="1"/>
  <c r="AJ29" i="31"/>
  <c r="AG28" i="31"/>
  <c r="AI28" i="31" s="1"/>
  <c r="AL28" i="31" s="1"/>
  <c r="V29" i="31"/>
  <c r="AH29" i="31" s="1"/>
  <c r="AL32" i="18"/>
  <c r="AN24" i="18"/>
  <c r="AN31" i="18" s="1"/>
  <c r="AP6" i="18" s="1"/>
  <c r="AL28" i="18"/>
  <c r="AN32" i="14"/>
  <c r="AN28" i="14"/>
  <c r="AA26" i="15"/>
  <c r="AM25" i="15"/>
  <c r="X26" i="15"/>
  <c r="U27" i="15" s="1"/>
  <c r="AH26" i="15"/>
  <c r="AK29" i="31" l="1"/>
  <c r="AM28" i="31"/>
  <c r="AN28" i="31" s="1"/>
  <c r="X29" i="31"/>
  <c r="AG26" i="15"/>
  <c r="AN32" i="18"/>
  <c r="AN28" i="18"/>
  <c r="V27" i="15"/>
  <c r="AJ27" i="15"/>
  <c r="AC26" i="15"/>
  <c r="AA27" i="15" s="1"/>
  <c r="AB26" i="15"/>
  <c r="Z27" i="15" s="1"/>
  <c r="AK26" i="15"/>
  <c r="AG29" i="31" l="1"/>
  <c r="AI29" i="31" s="1"/>
  <c r="AL29" i="31" s="1"/>
  <c r="U30" i="31"/>
  <c r="AJ30" i="31"/>
  <c r="AB29" i="31"/>
  <c r="Z30" i="31" s="1"/>
  <c r="AC29" i="31"/>
  <c r="AK27" i="15"/>
  <c r="AM26" i="15"/>
  <c r="X27" i="15"/>
  <c r="U28" i="15" s="1"/>
  <c r="AH27" i="15"/>
  <c r="AA30" i="31" l="1"/>
  <c r="AK30" i="31" s="1"/>
  <c r="AM29" i="31"/>
  <c r="AN29" i="31" s="1"/>
  <c r="V30" i="31"/>
  <c r="AH30" i="31" s="1"/>
  <c r="AG27" i="15"/>
  <c r="V28" i="15"/>
  <c r="AJ28" i="15"/>
  <c r="AC27" i="15"/>
  <c r="AB27" i="15"/>
  <c r="Z28" i="15" s="1"/>
  <c r="X30" i="31" l="1"/>
  <c r="AC30" i="31" s="1"/>
  <c r="AA31" i="31" s="1"/>
  <c r="AA28" i="15"/>
  <c r="AM27" i="15"/>
  <c r="X28" i="15"/>
  <c r="U29" i="15" s="1"/>
  <c r="AH28" i="15"/>
  <c r="AG30" i="31" l="1"/>
  <c r="AI30" i="31" s="1"/>
  <c r="AL30" i="31" s="1"/>
  <c r="U31" i="31"/>
  <c r="V31" i="31" s="1"/>
  <c r="AH31" i="31" s="1"/>
  <c r="AJ31" i="31"/>
  <c r="AB30" i="31"/>
  <c r="Z31" i="31" s="1"/>
  <c r="AK31" i="31" s="1"/>
  <c r="AM30" i="31"/>
  <c r="AG28" i="15"/>
  <c r="V29" i="15"/>
  <c r="AJ29" i="15"/>
  <c r="AC28" i="15"/>
  <c r="AA29" i="15" s="1"/>
  <c r="AB28" i="15"/>
  <c r="Z29" i="15" s="1"/>
  <c r="AK28" i="15"/>
  <c r="AN30" i="31" l="1"/>
  <c r="X31" i="31"/>
  <c r="AM28" i="15"/>
  <c r="AK29" i="15"/>
  <c r="X29" i="15"/>
  <c r="U30" i="15" s="1"/>
  <c r="AH29" i="15"/>
  <c r="AG31" i="31" l="1"/>
  <c r="AI31" i="31" s="1"/>
  <c r="AL31" i="31" s="1"/>
  <c r="U32" i="31"/>
  <c r="AJ32" i="31"/>
  <c r="AB31" i="31"/>
  <c r="Z32" i="31" s="1"/>
  <c r="AC31" i="31"/>
  <c r="AG29" i="15"/>
  <c r="AB29" i="15"/>
  <c r="Z30" i="15" s="1"/>
  <c r="AJ30" i="15"/>
  <c r="AC29" i="15"/>
  <c r="AA32" i="31" l="1"/>
  <c r="AK32" i="31" s="1"/>
  <c r="AM31" i="31"/>
  <c r="AN31" i="31" s="1"/>
  <c r="V32" i="31"/>
  <c r="AH32" i="31" s="1"/>
  <c r="AA30" i="15"/>
  <c r="AK30" i="15" s="1"/>
  <c r="AM29" i="15"/>
  <c r="V30" i="15"/>
  <c r="AH30" i="15" s="1"/>
  <c r="X32" i="31" l="1"/>
  <c r="AJ33" i="31" s="1"/>
  <c r="X30" i="15"/>
  <c r="U31" i="15" s="1"/>
  <c r="AB32" i="31" l="1"/>
  <c r="Z33" i="31" s="1"/>
  <c r="U33" i="31"/>
  <c r="V33" i="31" s="1"/>
  <c r="AH33" i="31" s="1"/>
  <c r="AC32" i="31"/>
  <c r="AA33" i="31" s="1"/>
  <c r="AG32" i="31"/>
  <c r="AI32" i="31" s="1"/>
  <c r="AL32" i="31" s="1"/>
  <c r="AC30" i="15"/>
  <c r="AM30" i="15" s="1"/>
  <c r="AG30" i="15"/>
  <c r="AJ31" i="15"/>
  <c r="AB30" i="15"/>
  <c r="Z31" i="15" s="1"/>
  <c r="V31" i="15"/>
  <c r="AH31" i="15" s="1"/>
  <c r="AK33" i="31" l="1"/>
  <c r="AM32" i="31"/>
  <c r="AN32" i="31" s="1"/>
  <c r="X33" i="31"/>
  <c r="U34" i="31" s="1"/>
  <c r="AA31" i="15"/>
  <c r="AK31" i="15" s="1"/>
  <c r="X31" i="15"/>
  <c r="U32" i="15" s="1"/>
  <c r="AB33" i="31" l="1"/>
  <c r="Z34" i="31" s="1"/>
  <c r="AC33" i="31"/>
  <c r="AM33" i="31" s="1"/>
  <c r="AJ34" i="31"/>
  <c r="AG33" i="31"/>
  <c r="AI33" i="31" s="1"/>
  <c r="AL33" i="31" s="1"/>
  <c r="V34" i="31"/>
  <c r="AH34" i="31" s="1"/>
  <c r="AG31" i="15"/>
  <c r="V32" i="15"/>
  <c r="AJ32" i="15"/>
  <c r="AB31" i="15"/>
  <c r="Z32" i="15" s="1"/>
  <c r="AC31" i="15"/>
  <c r="AA34" i="31" l="1"/>
  <c r="AK34" i="31" s="1"/>
  <c r="AN33" i="31"/>
  <c r="X34" i="31"/>
  <c r="AA32" i="15"/>
  <c r="AK32" i="15" s="1"/>
  <c r="AM31" i="15"/>
  <c r="X32" i="15"/>
  <c r="U33" i="15" s="1"/>
  <c r="AH32" i="15"/>
  <c r="U35" i="31" l="1"/>
  <c r="AG34" i="31"/>
  <c r="AI34" i="31" s="1"/>
  <c r="AL34" i="31" s="1"/>
  <c r="AC34" i="31"/>
  <c r="AJ35" i="31"/>
  <c r="AB34" i="31"/>
  <c r="Z35" i="31" s="1"/>
  <c r="AG32" i="15"/>
  <c r="V33" i="15"/>
  <c r="AJ33" i="15"/>
  <c r="AB32" i="15"/>
  <c r="Z33" i="15" s="1"/>
  <c r="AC32" i="15"/>
  <c r="AA33" i="15" s="1"/>
  <c r="AA35" i="31" l="1"/>
  <c r="AM34" i="31"/>
  <c r="AN34" i="31" s="1"/>
  <c r="V35" i="31"/>
  <c r="AH35" i="31" s="1"/>
  <c r="AM32" i="15"/>
  <c r="AK33" i="15"/>
  <c r="X33" i="15"/>
  <c r="U34" i="15" s="1"/>
  <c r="AH33" i="15"/>
  <c r="X35" i="31" l="1"/>
  <c r="U36" i="31" s="1"/>
  <c r="AK35" i="31"/>
  <c r="AG33" i="15"/>
  <c r="V34" i="15"/>
  <c r="AC33" i="15"/>
  <c r="AB33" i="15"/>
  <c r="Z34" i="15" s="1"/>
  <c r="AJ34" i="15"/>
  <c r="AB35" i="31" l="1"/>
  <c r="Z36" i="31" s="1"/>
  <c r="AC35" i="31"/>
  <c r="AA36" i="31" s="1"/>
  <c r="AJ36" i="31"/>
  <c r="AG35" i="31"/>
  <c r="AI35" i="31" s="1"/>
  <c r="AL35" i="31" s="1"/>
  <c r="V36" i="31"/>
  <c r="AH36" i="31" s="1"/>
  <c r="AA34" i="15"/>
  <c r="AM33" i="15"/>
  <c r="X34" i="15"/>
  <c r="U35" i="15" s="1"/>
  <c r="AH34" i="15"/>
  <c r="AK36" i="31" l="1"/>
  <c r="AM35" i="31"/>
  <c r="AN35" i="31" s="1"/>
  <c r="X36" i="31"/>
  <c r="AG36" i="31" s="1"/>
  <c r="AI36" i="31" s="1"/>
  <c r="AG34" i="15"/>
  <c r="V35" i="15"/>
  <c r="AJ35" i="15"/>
  <c r="AC34" i="15"/>
  <c r="AA35" i="15" s="1"/>
  <c r="AB34" i="15"/>
  <c r="Z35" i="15" s="1"/>
  <c r="AK34" i="15"/>
  <c r="AL36" i="31" l="1"/>
  <c r="AB36" i="31"/>
  <c r="Z37" i="31" s="1"/>
  <c r="AC36" i="31"/>
  <c r="AA37" i="31" s="1"/>
  <c r="AJ37" i="31"/>
  <c r="U37" i="31"/>
  <c r="V37" i="31" s="1"/>
  <c r="AH37" i="31" s="1"/>
  <c r="AK35" i="15"/>
  <c r="AM34" i="15"/>
  <c r="X35" i="15"/>
  <c r="U36" i="15" s="1"/>
  <c r="AH35" i="15"/>
  <c r="AM36" i="31" l="1"/>
  <c r="AN36" i="31" s="1"/>
  <c r="AK37" i="31"/>
  <c r="X37" i="31"/>
  <c r="AG35" i="15"/>
  <c r="AC35" i="15"/>
  <c r="AB35" i="15"/>
  <c r="Z36" i="15" s="1"/>
  <c r="AJ36" i="15"/>
  <c r="AG37" i="31" l="1"/>
  <c r="AI37" i="31" s="1"/>
  <c r="AL37" i="31" s="1"/>
  <c r="AJ38" i="31"/>
  <c r="U38" i="31"/>
  <c r="AB37" i="31"/>
  <c r="Z38" i="31" s="1"/>
  <c r="AC37" i="31"/>
  <c r="AA36" i="15"/>
  <c r="AM35" i="15"/>
  <c r="V36" i="15"/>
  <c r="AH36" i="15" s="1"/>
  <c r="AA38" i="31" l="1"/>
  <c r="AK38" i="31" s="1"/>
  <c r="AM37" i="31"/>
  <c r="AN37" i="31" s="1"/>
  <c r="V38" i="31"/>
  <c r="AH38" i="31" s="1"/>
  <c r="X36" i="15"/>
  <c r="U37" i="15" s="1"/>
  <c r="AK36" i="15"/>
  <c r="X38" i="31" l="1"/>
  <c r="AG36" i="15"/>
  <c r="V37" i="15"/>
  <c r="AJ37" i="15"/>
  <c r="AC36" i="15"/>
  <c r="AB36" i="15"/>
  <c r="Z37" i="15" s="1"/>
  <c r="AG38" i="31" l="1"/>
  <c r="AI38" i="31" s="1"/>
  <c r="AL38" i="31" s="1"/>
  <c r="AJ39" i="31"/>
  <c r="AB38" i="31"/>
  <c r="Z39" i="31" s="1"/>
  <c r="U39" i="31"/>
  <c r="AC38" i="31"/>
  <c r="AA37" i="15"/>
  <c r="AM36" i="15"/>
  <c r="X37" i="15"/>
  <c r="U38" i="15" s="1"/>
  <c r="AH37" i="15"/>
  <c r="V39" i="31" l="1"/>
  <c r="AH39" i="31" s="1"/>
  <c r="AA39" i="31"/>
  <c r="AK39" i="31" s="1"/>
  <c r="AM38" i="31"/>
  <c r="AN38" i="31" s="1"/>
  <c r="AG37" i="15"/>
  <c r="V38" i="15"/>
  <c r="AB37" i="15"/>
  <c r="Z38" i="15" s="1"/>
  <c r="AJ38" i="15"/>
  <c r="AC37" i="15"/>
  <c r="AA38" i="15" s="1"/>
  <c r="AK37" i="15"/>
  <c r="X39" i="31" l="1"/>
  <c r="AM37" i="15"/>
  <c r="AK38" i="15"/>
  <c r="X38" i="15"/>
  <c r="U39" i="15" s="1"/>
  <c r="AH38" i="15"/>
  <c r="AG39" i="31" l="1"/>
  <c r="AI39" i="31" s="1"/>
  <c r="AL39" i="31" s="1"/>
  <c r="U40" i="31"/>
  <c r="AB39" i="31"/>
  <c r="Z40" i="31" s="1"/>
  <c r="AJ40" i="31"/>
  <c r="AC39" i="31"/>
  <c r="AG38" i="15"/>
  <c r="V39" i="15"/>
  <c r="AB38" i="15"/>
  <c r="Z39" i="15" s="1"/>
  <c r="AJ39" i="15"/>
  <c r="AC38" i="15"/>
  <c r="AA40" i="31" l="1"/>
  <c r="AK40" i="31" s="1"/>
  <c r="AM39" i="31"/>
  <c r="AN39" i="31" s="1"/>
  <c r="V40" i="31"/>
  <c r="AH40" i="31" s="1"/>
  <c r="AA39" i="15"/>
  <c r="AK39" i="15" s="1"/>
  <c r="AM38" i="15"/>
  <c r="X39" i="15"/>
  <c r="U40" i="15" s="1"/>
  <c r="AH39" i="15"/>
  <c r="X40" i="31" l="1"/>
  <c r="U41" i="31" s="1"/>
  <c r="AG39" i="15"/>
  <c r="V40" i="15"/>
  <c r="AJ40" i="15"/>
  <c r="AB39" i="15"/>
  <c r="Z40" i="15" s="1"/>
  <c r="AC39" i="15"/>
  <c r="AA40" i="15" s="1"/>
  <c r="AC40" i="31" l="1"/>
  <c r="AA41" i="31" s="1"/>
  <c r="AB40" i="31"/>
  <c r="Z41" i="31" s="1"/>
  <c r="AJ41" i="31"/>
  <c r="AG40" i="31"/>
  <c r="AI40" i="31" s="1"/>
  <c r="AL40" i="31" s="1"/>
  <c r="V41" i="31"/>
  <c r="AH41" i="31" s="1"/>
  <c r="AM39" i="15"/>
  <c r="AK40" i="15"/>
  <c r="X40" i="15"/>
  <c r="U41" i="15" s="1"/>
  <c r="AH40" i="15"/>
  <c r="AM40" i="31" l="1"/>
  <c r="AN40" i="31" s="1"/>
  <c r="AK41" i="31"/>
  <c r="X41" i="31"/>
  <c r="U42" i="31" s="1"/>
  <c r="AG40" i="15"/>
  <c r="V41" i="15"/>
  <c r="AJ41" i="15"/>
  <c r="AB40" i="15"/>
  <c r="Z41" i="15" s="1"/>
  <c r="AC40" i="15"/>
  <c r="AB41" i="31" l="1"/>
  <c r="Z42" i="31" s="1"/>
  <c r="AJ42" i="31"/>
  <c r="AG41" i="31"/>
  <c r="AI41" i="31" s="1"/>
  <c r="AL41" i="31" s="1"/>
  <c r="AC41" i="31"/>
  <c r="AA42" i="31" s="1"/>
  <c r="V42" i="31"/>
  <c r="AH42" i="31" s="1"/>
  <c r="AA41" i="15"/>
  <c r="AK41" i="15" s="1"/>
  <c r="AM40" i="15"/>
  <c r="X41" i="15"/>
  <c r="U42" i="15" s="1"/>
  <c r="AH41" i="15"/>
  <c r="AK42" i="31" l="1"/>
  <c r="AM41" i="31"/>
  <c r="AN41" i="31" s="1"/>
  <c r="X42" i="31"/>
  <c r="AG41" i="15"/>
  <c r="V42" i="15"/>
  <c r="AC41" i="15"/>
  <c r="AA42" i="15" s="1"/>
  <c r="AJ42" i="15"/>
  <c r="AB41" i="15"/>
  <c r="Z42" i="15" s="1"/>
  <c r="U43" i="31" l="1"/>
  <c r="AG42" i="31"/>
  <c r="AI42" i="31" s="1"/>
  <c r="AL42" i="31" s="1"/>
  <c r="AJ43" i="31"/>
  <c r="AC42" i="31"/>
  <c r="AB42" i="31"/>
  <c r="Z43" i="31" s="1"/>
  <c r="AK42" i="15"/>
  <c r="AM41" i="15"/>
  <c r="X42" i="15"/>
  <c r="U43" i="15" s="1"/>
  <c r="AH42" i="15"/>
  <c r="AA43" i="31" l="1"/>
  <c r="AM42" i="31"/>
  <c r="AN42" i="31" s="1"/>
  <c r="V43" i="31"/>
  <c r="AH43" i="31" s="1"/>
  <c r="AG42" i="15"/>
  <c r="V43" i="15"/>
  <c r="AJ43" i="15"/>
  <c r="AC42" i="15"/>
  <c r="AB42" i="15"/>
  <c r="Z43" i="15" s="1"/>
  <c r="X43" i="31" l="1"/>
  <c r="AG43" i="31" s="1"/>
  <c r="AI43" i="31" s="1"/>
  <c r="AK43" i="31"/>
  <c r="AA43" i="15"/>
  <c r="AM42" i="15"/>
  <c r="X43" i="15"/>
  <c r="U44" i="15" s="1"/>
  <c r="AH43" i="15"/>
  <c r="AC43" i="31" l="1"/>
  <c r="AA44" i="31" s="1"/>
  <c r="AB43" i="31"/>
  <c r="Z44" i="31" s="1"/>
  <c r="AJ44" i="31"/>
  <c r="U44" i="31"/>
  <c r="V44" i="31" s="1"/>
  <c r="AH44" i="31" s="1"/>
  <c r="AL43" i="31"/>
  <c r="AG43" i="15"/>
  <c r="V44" i="15"/>
  <c r="AC43" i="15"/>
  <c r="AA44" i="15" s="1"/>
  <c r="AJ44" i="15"/>
  <c r="AB43" i="15"/>
  <c r="Z44" i="15" s="1"/>
  <c r="AK43" i="15"/>
  <c r="AM43" i="31" l="1"/>
  <c r="AN43" i="31" s="1"/>
  <c r="AK44" i="31"/>
  <c r="X44" i="31"/>
  <c r="AG44" i="31" s="1"/>
  <c r="AI44" i="31" s="1"/>
  <c r="AM43" i="15"/>
  <c r="AK44" i="15"/>
  <c r="X44" i="15"/>
  <c r="AH44" i="15"/>
  <c r="U45" i="15" l="1"/>
  <c r="AJ45" i="15"/>
  <c r="AL44" i="31"/>
  <c r="U45" i="31"/>
  <c r="V45" i="31" s="1"/>
  <c r="AH45" i="31" s="1"/>
  <c r="AC44" i="31"/>
  <c r="AM44" i="31" s="1"/>
  <c r="AB44" i="31"/>
  <c r="Z45" i="31" s="1"/>
  <c r="AJ45" i="31"/>
  <c r="AG44" i="15"/>
  <c r="AC44" i="15"/>
  <c r="AA45" i="15" s="1"/>
  <c r="AB44" i="15"/>
  <c r="Z45" i="15" s="1"/>
  <c r="AK45" i="15" l="1"/>
  <c r="V45" i="15"/>
  <c r="AH45" i="15" s="1"/>
  <c r="AN44" i="31"/>
  <c r="AA45" i="31"/>
  <c r="AK45" i="31" s="1"/>
  <c r="X45" i="31"/>
  <c r="AM44" i="15"/>
  <c r="X45" i="15" l="1"/>
  <c r="AG45" i="15" s="1"/>
  <c r="AI45" i="15" s="1"/>
  <c r="AL45" i="15" s="1"/>
  <c r="AG45" i="31"/>
  <c r="AI45" i="31" s="1"/>
  <c r="AL45" i="31" s="1"/>
  <c r="U46" i="31"/>
  <c r="AB45" i="31"/>
  <c r="Z46" i="31" s="1"/>
  <c r="AJ46" i="31"/>
  <c r="AC45" i="31"/>
  <c r="AC45" i="15" l="1"/>
  <c r="AA46" i="15" s="1"/>
  <c r="AB45" i="15"/>
  <c r="Z46" i="15" s="1"/>
  <c r="AJ46" i="15"/>
  <c r="U46" i="15"/>
  <c r="V46" i="15" s="1"/>
  <c r="AH46" i="15" s="1"/>
  <c r="AA46" i="31"/>
  <c r="AK46" i="31" s="1"/>
  <c r="AM45" i="31"/>
  <c r="AN45" i="31" s="1"/>
  <c r="V46" i="31"/>
  <c r="AH46" i="31" s="1"/>
  <c r="AK46" i="15" l="1"/>
  <c r="AM45" i="15"/>
  <c r="AN45" i="15" s="1"/>
  <c r="X46" i="15"/>
  <c r="AG46" i="15" s="1"/>
  <c r="AI46" i="15" s="1"/>
  <c r="AL46" i="15" s="1"/>
  <c r="X46" i="31"/>
  <c r="AC46" i="31" s="1"/>
  <c r="AA47" i="31" s="1"/>
  <c r="U47" i="15" l="1"/>
  <c r="AB46" i="15"/>
  <c r="Z47" i="15" s="1"/>
  <c r="AJ47" i="15"/>
  <c r="AC46" i="15"/>
  <c r="V47" i="15"/>
  <c r="AH47" i="15" s="1"/>
  <c r="AB46" i="31"/>
  <c r="Z47" i="31" s="1"/>
  <c r="AK47" i="31" s="1"/>
  <c r="AG46" i="31"/>
  <c r="AI46" i="31" s="1"/>
  <c r="AL46" i="31" s="1"/>
  <c r="AJ47" i="31"/>
  <c r="U47" i="31"/>
  <c r="V47" i="31" s="1"/>
  <c r="AH47" i="31" s="1"/>
  <c r="AM46" i="31"/>
  <c r="AA47" i="15" l="1"/>
  <c r="AK47" i="15" s="1"/>
  <c r="AM46" i="15"/>
  <c r="AN46" i="15" s="1"/>
  <c r="X47" i="15"/>
  <c r="AG47" i="15" s="1"/>
  <c r="AI47" i="15" s="1"/>
  <c r="AN46" i="31"/>
  <c r="X47" i="31"/>
  <c r="AL47" i="15" l="1"/>
  <c r="AC47" i="15"/>
  <c r="AM47" i="15" s="1"/>
  <c r="U48" i="15"/>
  <c r="V48" i="15" s="1"/>
  <c r="AH48" i="15" s="1"/>
  <c r="AJ48" i="15"/>
  <c r="AB47" i="15"/>
  <c r="Z48" i="15" s="1"/>
  <c r="AG47" i="31"/>
  <c r="AI47" i="31" s="1"/>
  <c r="AL47" i="31" s="1"/>
  <c r="U48" i="31"/>
  <c r="AC47" i="31"/>
  <c r="AB47" i="31"/>
  <c r="Z48" i="31" s="1"/>
  <c r="AJ48" i="31"/>
  <c r="AN47" i="15" l="1"/>
  <c r="AA48" i="15"/>
  <c r="AK48" i="15" s="1"/>
  <c r="X48" i="15"/>
  <c r="AB48" i="15" s="1"/>
  <c r="Z49" i="15" s="1"/>
  <c r="AA48" i="31"/>
  <c r="AM47" i="31"/>
  <c r="AN47" i="31" s="1"/>
  <c r="V48" i="31"/>
  <c r="AH48" i="31" s="1"/>
  <c r="AJ49" i="15" l="1"/>
  <c r="U49" i="15"/>
  <c r="AC48" i="15"/>
  <c r="AA49" i="15" s="1"/>
  <c r="AK49" i="15" s="1"/>
  <c r="AG48" i="15"/>
  <c r="AI48" i="15" s="1"/>
  <c r="AL48" i="15" s="1"/>
  <c r="V49" i="15"/>
  <c r="AH49" i="15" s="1"/>
  <c r="X48" i="31"/>
  <c r="AC48" i="31" s="1"/>
  <c r="AK48" i="31"/>
  <c r="AM48" i="15" l="1"/>
  <c r="AN48" i="15" s="1"/>
  <c r="X49" i="15"/>
  <c r="AJ50" i="15" s="1"/>
  <c r="AB48" i="31"/>
  <c r="Z49" i="31" s="1"/>
  <c r="AJ49" i="31"/>
  <c r="AG48" i="31"/>
  <c r="AI48" i="31" s="1"/>
  <c r="AL48" i="31" s="1"/>
  <c r="U49" i="31"/>
  <c r="V49" i="31" s="1"/>
  <c r="AH49" i="31" s="1"/>
  <c r="AA49" i="31"/>
  <c r="AM48" i="31"/>
  <c r="AG49" i="15" l="1"/>
  <c r="AI49" i="15" s="1"/>
  <c r="AL49" i="15" s="1"/>
  <c r="AC49" i="15"/>
  <c r="AB49" i="15"/>
  <c r="Z50" i="15" s="1"/>
  <c r="U50" i="15"/>
  <c r="V50" i="15" s="1"/>
  <c r="AH50" i="15" s="1"/>
  <c r="AA50" i="15"/>
  <c r="AM49" i="15"/>
  <c r="AN48" i="31"/>
  <c r="AK49" i="31"/>
  <c r="X49" i="31"/>
  <c r="AK50" i="15" l="1"/>
  <c r="AN49" i="15"/>
  <c r="X50" i="15"/>
  <c r="U51" i="15" s="1"/>
  <c r="U50" i="31"/>
  <c r="AG49" i="31"/>
  <c r="AI49" i="31" s="1"/>
  <c r="AL49" i="31" s="1"/>
  <c r="AJ50" i="31"/>
  <c r="AC49" i="31"/>
  <c r="AB49" i="31"/>
  <c r="Z50" i="31" s="1"/>
  <c r="AC50" i="15" l="1"/>
  <c r="AA51" i="15" s="1"/>
  <c r="AB50" i="15"/>
  <c r="Z51" i="15" s="1"/>
  <c r="AK51" i="15" s="1"/>
  <c r="AJ51" i="15"/>
  <c r="AG50" i="15"/>
  <c r="AI50" i="15" s="1"/>
  <c r="AL50" i="15" s="1"/>
  <c r="AM50" i="15"/>
  <c r="V51" i="15"/>
  <c r="AH51" i="15" s="1"/>
  <c r="AA50" i="31"/>
  <c r="AM49" i="31"/>
  <c r="AN49" i="31" s="1"/>
  <c r="V50" i="31"/>
  <c r="AH50" i="31" s="1"/>
  <c r="AN50" i="15" l="1"/>
  <c r="X51" i="15"/>
  <c r="AC51" i="15" s="1"/>
  <c r="X50" i="31"/>
  <c r="AK50" i="31"/>
  <c r="AB51" i="15" l="1"/>
  <c r="Z52" i="15" s="1"/>
  <c r="U52" i="15"/>
  <c r="V52" i="15" s="1"/>
  <c r="AH52" i="15" s="1"/>
  <c r="AG51" i="15"/>
  <c r="AI51" i="15" s="1"/>
  <c r="AL51" i="15" s="1"/>
  <c r="AJ52" i="15"/>
  <c r="AA52" i="15"/>
  <c r="AK52" i="15" s="1"/>
  <c r="AM51" i="15"/>
  <c r="AN51" i="15" s="1"/>
  <c r="AG50" i="31"/>
  <c r="AI50" i="31" s="1"/>
  <c r="AL50" i="31" s="1"/>
  <c r="AC50" i="31"/>
  <c r="AJ51" i="31"/>
  <c r="U51" i="31"/>
  <c r="AB50" i="31"/>
  <c r="Z51" i="31" s="1"/>
  <c r="X52" i="15" l="1"/>
  <c r="AJ53" i="15" s="1"/>
  <c r="V51" i="31"/>
  <c r="AH51" i="31" s="1"/>
  <c r="AA51" i="31"/>
  <c r="AM50" i="31"/>
  <c r="AN50" i="31" s="1"/>
  <c r="AC52" i="15" l="1"/>
  <c r="AA53" i="15" s="1"/>
  <c r="AB52" i="15"/>
  <c r="Z53" i="15" s="1"/>
  <c r="U53" i="15"/>
  <c r="AG52" i="15"/>
  <c r="AI52" i="15" s="1"/>
  <c r="AL52" i="15" s="1"/>
  <c r="V53" i="15"/>
  <c r="AH53" i="15" s="1"/>
  <c r="X51" i="31"/>
  <c r="AK51" i="31"/>
  <c r="AM52" i="15" l="1"/>
  <c r="AK53" i="15"/>
  <c r="AN52" i="15"/>
  <c r="X53" i="15"/>
  <c r="AG53" i="15" s="1"/>
  <c r="AI53" i="15" s="1"/>
  <c r="AG51" i="31"/>
  <c r="AI51" i="31" s="1"/>
  <c r="AL51" i="31" s="1"/>
  <c r="U52" i="31"/>
  <c r="AJ52" i="31"/>
  <c r="AC51" i="31"/>
  <c r="AB51" i="31"/>
  <c r="Z52" i="31" s="1"/>
  <c r="AL53" i="15" l="1"/>
  <c r="AC53" i="15"/>
  <c r="AM53" i="15" s="1"/>
  <c r="AN53" i="15" s="1"/>
  <c r="AB53" i="15"/>
  <c r="Z54" i="15" s="1"/>
  <c r="U54" i="15"/>
  <c r="AJ54" i="15"/>
  <c r="V54" i="15"/>
  <c r="AH54" i="15" s="1"/>
  <c r="AA52" i="31"/>
  <c r="AM51" i="31"/>
  <c r="AN51" i="31" s="1"/>
  <c r="V52" i="31"/>
  <c r="AH52" i="31" s="1"/>
  <c r="AA54" i="15" l="1"/>
  <c r="X54" i="15"/>
  <c r="AJ55" i="15" s="1"/>
  <c r="AC54" i="15"/>
  <c r="AA55" i="15" s="1"/>
  <c r="AK54" i="15"/>
  <c r="X52" i="31"/>
  <c r="AJ53" i="31" s="1"/>
  <c r="AK52" i="31"/>
  <c r="AG54" i="15" l="1"/>
  <c r="AI54" i="15" s="1"/>
  <c r="U55" i="15"/>
  <c r="AB54" i="15"/>
  <c r="Z55" i="15" s="1"/>
  <c r="AK55" i="15" s="1"/>
  <c r="AL54" i="15"/>
  <c r="V55" i="15"/>
  <c r="AH55" i="15" s="1"/>
  <c r="AM54" i="15"/>
  <c r="AC52" i="31"/>
  <c r="AA53" i="31" s="1"/>
  <c r="AB52" i="31"/>
  <c r="Z53" i="31" s="1"/>
  <c r="AG52" i="31"/>
  <c r="AI52" i="31" s="1"/>
  <c r="AL52" i="31" s="1"/>
  <c r="U53" i="31"/>
  <c r="V53" i="31" s="1"/>
  <c r="AH53" i="31" s="1"/>
  <c r="X55" i="15" l="1"/>
  <c r="AN54" i="15"/>
  <c r="AK53" i="31"/>
  <c r="AM52" i="31"/>
  <c r="AN52" i="31" s="1"/>
  <c r="X53" i="31"/>
  <c r="AB55" i="15" l="1"/>
  <c r="Z56" i="15" s="1"/>
  <c r="U56" i="15"/>
  <c r="AC55" i="15"/>
  <c r="AG55" i="15"/>
  <c r="AI55" i="15" s="1"/>
  <c r="AL55" i="15" s="1"/>
  <c r="AJ56" i="15"/>
  <c r="AG53" i="31"/>
  <c r="AI53" i="31" s="1"/>
  <c r="AL53" i="31" s="1"/>
  <c r="U54" i="31"/>
  <c r="AJ54" i="31"/>
  <c r="AB53" i="31"/>
  <c r="Z54" i="31" s="1"/>
  <c r="AC53" i="31"/>
  <c r="AA56" i="15" l="1"/>
  <c r="AM55" i="15"/>
  <c r="AN55" i="15" s="1"/>
  <c r="V56" i="15"/>
  <c r="AH56" i="15" s="1"/>
  <c r="AA54" i="31"/>
  <c r="AK54" i="31" s="1"/>
  <c r="AM53" i="31"/>
  <c r="AN53" i="31" s="1"/>
  <c r="V54" i="31"/>
  <c r="AH54" i="31" s="1"/>
  <c r="X56" i="15" l="1"/>
  <c r="AK56" i="15"/>
  <c r="X54" i="31"/>
  <c r="U55" i="31" s="1"/>
  <c r="AG56" i="15" l="1"/>
  <c r="AI56" i="15" s="1"/>
  <c r="AL56" i="15" s="1"/>
  <c r="U57" i="15"/>
  <c r="AJ57" i="15"/>
  <c r="AB56" i="15"/>
  <c r="Z57" i="15" s="1"/>
  <c r="AC56" i="15"/>
  <c r="AJ55" i="31"/>
  <c r="AB54" i="31"/>
  <c r="Z55" i="31" s="1"/>
  <c r="AC54" i="31"/>
  <c r="AA55" i="31" s="1"/>
  <c r="AG54" i="31"/>
  <c r="AI54" i="31" s="1"/>
  <c r="AL54" i="31" s="1"/>
  <c r="V55" i="31"/>
  <c r="AH55" i="31" s="1"/>
  <c r="AA57" i="15" l="1"/>
  <c r="AK57" i="15" s="1"/>
  <c r="AM56" i="15"/>
  <c r="AN56" i="15" s="1"/>
  <c r="V57" i="15"/>
  <c r="AH57" i="15" s="1"/>
  <c r="AK55" i="31"/>
  <c r="AM54" i="31"/>
  <c r="AN54" i="31" s="1"/>
  <c r="X55" i="31"/>
  <c r="X57" i="15" l="1"/>
  <c r="AG57" i="15" s="1"/>
  <c r="AI57" i="15" s="1"/>
  <c r="AL57" i="15" s="1"/>
  <c r="AG55" i="31"/>
  <c r="AI55" i="31" s="1"/>
  <c r="AL55" i="31" s="1"/>
  <c r="AJ56" i="31"/>
  <c r="U56" i="31"/>
  <c r="AC55" i="31"/>
  <c r="AB55" i="31"/>
  <c r="Z56" i="31" s="1"/>
  <c r="AJ58" i="15" l="1"/>
  <c r="AC57" i="15"/>
  <c r="AA58" i="15" s="1"/>
  <c r="U58" i="15"/>
  <c r="V58" i="15" s="1"/>
  <c r="AH58" i="15" s="1"/>
  <c r="AB57" i="15"/>
  <c r="Z58" i="15" s="1"/>
  <c r="AA56" i="31"/>
  <c r="AM55" i="31"/>
  <c r="AN55" i="31" s="1"/>
  <c r="V56" i="31"/>
  <c r="AH56" i="31" s="1"/>
  <c r="AK58" i="15" l="1"/>
  <c r="AM57" i="15"/>
  <c r="AN57" i="15" s="1"/>
  <c r="X58" i="15"/>
  <c r="X56" i="31"/>
  <c r="AG56" i="31" s="1"/>
  <c r="AI56" i="31" s="1"/>
  <c r="AK56" i="31"/>
  <c r="U59" i="15" l="1"/>
  <c r="AG58" i="15"/>
  <c r="AI58" i="15" s="1"/>
  <c r="AL58" i="15" s="1"/>
  <c r="AJ59" i="15"/>
  <c r="AC58" i="15"/>
  <c r="AB58" i="15"/>
  <c r="Z59" i="15" s="1"/>
  <c r="AJ57" i="31"/>
  <c r="AB56" i="31"/>
  <c r="Z57" i="31" s="1"/>
  <c r="AC56" i="31"/>
  <c r="U57" i="31"/>
  <c r="V57" i="31" s="1"/>
  <c r="AH57" i="31" s="1"/>
  <c r="AL56" i="31"/>
  <c r="AA59" i="15" l="1"/>
  <c r="AM58" i="15"/>
  <c r="AN58" i="15" s="1"/>
  <c r="V59" i="15"/>
  <c r="AH59" i="15" s="1"/>
  <c r="AA57" i="31"/>
  <c r="AK57" i="31" s="1"/>
  <c r="AM56" i="31"/>
  <c r="AN56" i="31" s="1"/>
  <c r="X57" i="31"/>
  <c r="X59" i="15" l="1"/>
  <c r="U60" i="15" s="1"/>
  <c r="AK59" i="15"/>
  <c r="U58" i="31"/>
  <c r="AJ58" i="31"/>
  <c r="AG57" i="31"/>
  <c r="AI57" i="31" s="1"/>
  <c r="AL57" i="31" s="1"/>
  <c r="AC57" i="31"/>
  <c r="AB57" i="31"/>
  <c r="Z58" i="31" s="1"/>
  <c r="AB59" i="15" l="1"/>
  <c r="Z60" i="15" s="1"/>
  <c r="AC59" i="15"/>
  <c r="AA60" i="15" s="1"/>
  <c r="AJ60" i="15"/>
  <c r="AG59" i="15"/>
  <c r="AI59" i="15" s="1"/>
  <c r="AL59" i="15" s="1"/>
  <c r="V60" i="15"/>
  <c r="AH60" i="15" s="1"/>
  <c r="AA58" i="31"/>
  <c r="AM57" i="31"/>
  <c r="AN57" i="31" s="1"/>
  <c r="V58" i="31"/>
  <c r="AH58" i="31" s="1"/>
  <c r="AK60" i="15" l="1"/>
  <c r="AM59" i="15"/>
  <c r="AN59" i="15" s="1"/>
  <c r="X60" i="15"/>
  <c r="AJ61" i="15" s="1"/>
  <c r="X58" i="31"/>
  <c r="AG58" i="31" s="1"/>
  <c r="AI58" i="31" s="1"/>
  <c r="AK58" i="31"/>
  <c r="AC60" i="15" l="1"/>
  <c r="U61" i="15"/>
  <c r="AB60" i="15"/>
  <c r="Z61" i="15" s="1"/>
  <c r="AG60" i="15"/>
  <c r="AI60" i="15" s="1"/>
  <c r="AL60" i="15" s="1"/>
  <c r="AA61" i="15"/>
  <c r="AK61" i="15" s="1"/>
  <c r="AM60" i="15"/>
  <c r="V61" i="15"/>
  <c r="AH61" i="15" s="1"/>
  <c r="AC58" i="31"/>
  <c r="AA59" i="31" s="1"/>
  <c r="U59" i="31"/>
  <c r="V59" i="31" s="1"/>
  <c r="AH59" i="31" s="1"/>
  <c r="AB58" i="31"/>
  <c r="Z59" i="31" s="1"/>
  <c r="AJ59" i="31"/>
  <c r="AL58" i="31"/>
  <c r="AN60" i="15" l="1"/>
  <c r="X61" i="15"/>
  <c r="AM58" i="31"/>
  <c r="AN58" i="31" s="1"/>
  <c r="AK59" i="31"/>
  <c r="X59" i="31"/>
  <c r="AG61" i="15" l="1"/>
  <c r="AI61" i="15" s="1"/>
  <c r="AL61" i="15" s="1"/>
  <c r="U62" i="15"/>
  <c r="AB61" i="15"/>
  <c r="Z62" i="15" s="1"/>
  <c r="AJ62" i="15"/>
  <c r="AC61" i="15"/>
  <c r="AG59" i="31"/>
  <c r="AI59" i="31" s="1"/>
  <c r="AL59" i="31" s="1"/>
  <c r="U60" i="31"/>
  <c r="AJ60" i="31"/>
  <c r="AC59" i="31"/>
  <c r="AB59" i="31"/>
  <c r="Z60" i="31" s="1"/>
  <c r="AA62" i="15" l="1"/>
  <c r="AK62" i="15" s="1"/>
  <c r="AM61" i="15"/>
  <c r="AN61" i="15" s="1"/>
  <c r="V62" i="15"/>
  <c r="AH62" i="15" s="1"/>
  <c r="AA60" i="31"/>
  <c r="AM59" i="31"/>
  <c r="AN59" i="31" s="1"/>
  <c r="V60" i="31"/>
  <c r="AH60" i="31" s="1"/>
  <c r="X62" i="15" l="1"/>
  <c r="U63" i="15" s="1"/>
  <c r="X60" i="31"/>
  <c r="AG60" i="31" s="1"/>
  <c r="AI60" i="31" s="1"/>
  <c r="AK60" i="31"/>
  <c r="AB62" i="15" l="1"/>
  <c r="Z63" i="15" s="1"/>
  <c r="AC62" i="15"/>
  <c r="AJ63" i="15"/>
  <c r="AG62" i="15"/>
  <c r="AI62" i="15" s="1"/>
  <c r="AL62" i="15" s="1"/>
  <c r="V63" i="15"/>
  <c r="AH63" i="15" s="1"/>
  <c r="AB60" i="31"/>
  <c r="Z61" i="31" s="1"/>
  <c r="AC60" i="31"/>
  <c r="AA61" i="31" s="1"/>
  <c r="AJ61" i="31"/>
  <c r="U61" i="31"/>
  <c r="V61" i="31" s="1"/>
  <c r="AH61" i="31" s="1"/>
  <c r="AL60" i="31"/>
  <c r="AA63" i="15" l="1"/>
  <c r="AK63" i="15" s="1"/>
  <c r="AM62" i="15"/>
  <c r="AN62" i="15" s="1"/>
  <c r="X63" i="15"/>
  <c r="AJ64" i="15" s="1"/>
  <c r="AM60" i="31"/>
  <c r="AN60" i="31" s="1"/>
  <c r="AK61" i="31"/>
  <c r="X61" i="31"/>
  <c r="AG63" i="15" l="1"/>
  <c r="AI63" i="15" s="1"/>
  <c r="AL63" i="15" s="1"/>
  <c r="U64" i="15"/>
  <c r="V64" i="15" s="1"/>
  <c r="AH64" i="15" s="1"/>
  <c r="AH103" i="15" s="1"/>
  <c r="AC63" i="15"/>
  <c r="AB63" i="15"/>
  <c r="Z64" i="15" s="1"/>
  <c r="AA64" i="15"/>
  <c r="AM63" i="15"/>
  <c r="AG61" i="31"/>
  <c r="AI61" i="31" s="1"/>
  <c r="AL61" i="31" s="1"/>
  <c r="U62" i="31"/>
  <c r="AC61" i="31"/>
  <c r="AJ62" i="31"/>
  <c r="AB61" i="31"/>
  <c r="Z62" i="31" s="1"/>
  <c r="AN63" i="15" l="1"/>
  <c r="AK64" i="15"/>
  <c r="X64" i="15"/>
  <c r="AG64" i="15" s="1"/>
  <c r="AI64" i="15" s="1"/>
  <c r="AA62" i="31"/>
  <c r="AM61" i="31"/>
  <c r="AN61" i="31" s="1"/>
  <c r="V62" i="31"/>
  <c r="AH62" i="31" s="1"/>
  <c r="AL64" i="15" l="1"/>
  <c r="AC64" i="15"/>
  <c r="AM64" i="15" s="1"/>
  <c r="AB64" i="15"/>
  <c r="X62" i="31"/>
  <c r="AK62" i="31"/>
  <c r="AN64" i="15" l="1"/>
  <c r="U63" i="31"/>
  <c r="AG62" i="31"/>
  <c r="AI62" i="31" s="1"/>
  <c r="AL62" i="31" s="1"/>
  <c r="AJ63" i="31"/>
  <c r="AC62" i="31"/>
  <c r="AB62" i="31"/>
  <c r="Z63" i="31" s="1"/>
  <c r="AA63" i="31" l="1"/>
  <c r="AM62" i="31"/>
  <c r="AN62" i="31" s="1"/>
  <c r="V63" i="31"/>
  <c r="AH63" i="31" s="1"/>
  <c r="X63" i="31" l="1"/>
  <c r="AJ64" i="31" s="1"/>
  <c r="AK63" i="31"/>
  <c r="AC63" i="31" l="1"/>
  <c r="AB63" i="31"/>
  <c r="Z64" i="31" s="1"/>
  <c r="U64" i="31"/>
  <c r="V64" i="31" s="1"/>
  <c r="AH64" i="31" s="1"/>
  <c r="AG63" i="31"/>
  <c r="AI63" i="31" s="1"/>
  <c r="AL63" i="31" s="1"/>
  <c r="X64" i="31" l="1"/>
  <c r="AB64" i="31" s="1"/>
  <c r="AA64" i="31"/>
  <c r="AK64" i="31" s="1"/>
  <c r="AM63" i="31"/>
  <c r="AN63" i="31" s="1"/>
  <c r="AC64" i="31" l="1"/>
  <c r="AG64" i="31"/>
  <c r="AI64" i="31" l="1"/>
  <c r="AL64" i="31" s="1"/>
  <c r="AL106" i="31" s="1"/>
  <c r="AG106" i="31"/>
  <c r="AM64" i="31"/>
  <c r="AP4" i="31" l="1"/>
  <c r="AL103" i="31"/>
  <c r="AN64" i="31"/>
  <c r="AJ103" i="15" l="1"/>
  <c r="AK103" i="15" l="1"/>
  <c r="AJ107" i="15"/>
  <c r="AJ106" i="15"/>
  <c r="AG103" i="15"/>
  <c r="AK107" i="15" l="1"/>
  <c r="AK106" i="15"/>
  <c r="AG106" i="15"/>
  <c r="AH106" i="15"/>
  <c r="AH107" i="15"/>
  <c r="AM103" i="15"/>
  <c r="AM106" i="15" l="1"/>
  <c r="AM107" i="15"/>
  <c r="AJ107" i="31" l="1"/>
  <c r="AJ106" i="31"/>
  <c r="AJ103" i="31"/>
  <c r="AK107" i="31" l="1"/>
  <c r="AK103" i="31"/>
  <c r="AK106" i="31"/>
  <c r="AH103" i="31"/>
  <c r="AH106" i="31"/>
  <c r="AH107" i="31"/>
  <c r="AM106" i="31" l="1"/>
  <c r="AG107" i="31"/>
  <c r="AG103" i="31"/>
  <c r="AM103" i="31" l="1"/>
  <c r="AM107" i="31"/>
  <c r="AI107" i="31"/>
  <c r="AI103" i="31"/>
  <c r="AI106" i="31"/>
  <c r="AL107" i="31" l="1"/>
  <c r="C25" i="31" l="1"/>
  <c r="AP6" i="31"/>
  <c r="AN107" i="31"/>
  <c r="AN103" i="31"/>
  <c r="AN106" i="31"/>
  <c r="AI44" i="15" l="1"/>
  <c r="AL44" i="15" s="1"/>
  <c r="AN44" i="15" s="1"/>
  <c r="AI43" i="15"/>
  <c r="AL43" i="15" s="1"/>
  <c r="AN43" i="15" s="1"/>
  <c r="AI42" i="15"/>
  <c r="AL42" i="15" s="1"/>
  <c r="AN42" i="15" s="1"/>
  <c r="AI41" i="15"/>
  <c r="AL41" i="15" s="1"/>
  <c r="AN41" i="15" s="1"/>
  <c r="AI40" i="15"/>
  <c r="AL40" i="15" s="1"/>
  <c r="AN40" i="15" s="1"/>
  <c r="AI39" i="15"/>
  <c r="AL39" i="15" s="1"/>
  <c r="AN39" i="15" s="1"/>
  <c r="AI38" i="15"/>
  <c r="AL38" i="15" s="1"/>
  <c r="AN38" i="15" s="1"/>
  <c r="AI37" i="15"/>
  <c r="AL37" i="15" s="1"/>
  <c r="AN37" i="15" s="1"/>
  <c r="AI36" i="15"/>
  <c r="AL36" i="15" s="1"/>
  <c r="AN36" i="15" s="1"/>
  <c r="AI35" i="15"/>
  <c r="AL35" i="15" s="1"/>
  <c r="AN35" i="15" s="1"/>
  <c r="AI34" i="15"/>
  <c r="AL34" i="15" s="1"/>
  <c r="AN34" i="15" s="1"/>
  <c r="AI33" i="15"/>
  <c r="AL33" i="15" s="1"/>
  <c r="AN33" i="15" s="1"/>
  <c r="AI32" i="15"/>
  <c r="AL32" i="15" s="1"/>
  <c r="AN32" i="15" s="1"/>
  <c r="AI31" i="15"/>
  <c r="AL31" i="15" s="1"/>
  <c r="AN31" i="15" s="1"/>
  <c r="AI30" i="15"/>
  <c r="AL30" i="15" s="1"/>
  <c r="AN30" i="15" s="1"/>
  <c r="AI29" i="15"/>
  <c r="AL29" i="15" s="1"/>
  <c r="AN29" i="15" s="1"/>
  <c r="AI28" i="15"/>
  <c r="AL28" i="15" s="1"/>
  <c r="AN28" i="15" s="1"/>
  <c r="AI27" i="15"/>
  <c r="AL27" i="15" s="1"/>
  <c r="AN27" i="15" s="1"/>
  <c r="AI26" i="15"/>
  <c r="AL26" i="15" s="1"/>
  <c r="AN26" i="15" s="1"/>
  <c r="AI25" i="15"/>
  <c r="AL25" i="15" s="1"/>
  <c r="AN25" i="15" s="1"/>
  <c r="AI24" i="15"/>
  <c r="AL24" i="15" s="1"/>
  <c r="AN24" i="15" s="1"/>
  <c r="AI23" i="15"/>
  <c r="AL23" i="15" s="1"/>
  <c r="AN23" i="15" s="1"/>
  <c r="AI22" i="15"/>
  <c r="AL22" i="15" s="1"/>
  <c r="AN22" i="15" s="1"/>
  <c r="AI21" i="15"/>
  <c r="AL21" i="15" s="1"/>
  <c r="AN21" i="15" s="1"/>
  <c r="AI20" i="15"/>
  <c r="AL20" i="15" s="1"/>
  <c r="AN20" i="15" s="1"/>
  <c r="AI19" i="15"/>
  <c r="AL19" i="15" s="1"/>
  <c r="AN19" i="15" s="1"/>
  <c r="AI18" i="15"/>
  <c r="AL18" i="15" s="1"/>
  <c r="AN18" i="15" s="1"/>
  <c r="AI17" i="15"/>
  <c r="AL17" i="15" s="1"/>
  <c r="AN17" i="15" s="1"/>
  <c r="AI16" i="15"/>
  <c r="AL16" i="15" s="1"/>
  <c r="AN16" i="15" s="1"/>
  <c r="AI15" i="15"/>
  <c r="AL15" i="15" s="1"/>
  <c r="AN15" i="15" s="1"/>
  <c r="AI14" i="15"/>
  <c r="AL14" i="15" s="1"/>
  <c r="AN14" i="15" s="1"/>
  <c r="AI13" i="15"/>
  <c r="AL13" i="15" s="1"/>
  <c r="AN13" i="15" s="1"/>
  <c r="AI12" i="15"/>
  <c r="AL12" i="15" s="1"/>
  <c r="AN12" i="15" s="1"/>
  <c r="AI11" i="15"/>
  <c r="AL11" i="15" s="1"/>
  <c r="AN11" i="15" s="1"/>
  <c r="AI10" i="15"/>
  <c r="AL10" i="15" s="1"/>
  <c r="AN10" i="15" s="1"/>
  <c r="AI9" i="15"/>
  <c r="AL9" i="15" s="1"/>
  <c r="AN9" i="15" s="1"/>
  <c r="AI8" i="15"/>
  <c r="AL8" i="15" s="1"/>
  <c r="AN8" i="15" s="1"/>
  <c r="AI7" i="15"/>
  <c r="AL7" i="15" s="1"/>
  <c r="AN7" i="15" s="1"/>
  <c r="AI6" i="15"/>
  <c r="AL6" i="15" s="1"/>
  <c r="AN6" i="15" s="1"/>
  <c r="AL5" i="15" l="1"/>
  <c r="AL106" i="15" l="1"/>
  <c r="AP4" i="15" s="1"/>
  <c r="AL103" i="15"/>
  <c r="AN5" i="15"/>
  <c r="AG107" i="15"/>
  <c r="AI103" i="15"/>
  <c r="AI106" i="15" l="1"/>
  <c r="AI107" i="15"/>
  <c r="AN4" i="15" l="1"/>
  <c r="AN106" i="15" s="1"/>
  <c r="C25" i="15"/>
  <c r="AL107" i="15"/>
  <c r="AN107" i="15" l="1"/>
  <c r="AN103" i="15"/>
  <c r="AP6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Yukeshan Easwaran</author>
  </authors>
  <commentList>
    <comment ref="G44" authorId="0" shapeId="0" xr:uid="{8BBBE497-3762-AE40-A220-2D0B4D43A098}">
      <text>
        <r>
          <rPr>
            <b/>
            <sz val="10"/>
            <color rgb="FF000000"/>
            <rFont val="Tahoma"/>
            <family val="2"/>
          </rPr>
          <t>Yukeshan Easwaran: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From Inforce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Yukeshan Easwaran</author>
  </authors>
  <commentList>
    <comment ref="G104" authorId="0" shapeId="0" xr:uid="{59066C9A-339A-C343-BE97-CD548E6A41C6}">
      <text>
        <r>
          <rPr>
            <b/>
            <sz val="10"/>
            <color rgb="FF000000"/>
            <rFont val="Tahoma"/>
            <family val="2"/>
          </rPr>
          <t>Yukeshan Easwaran: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From Inforce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Yukeshan Easwaran</author>
  </authors>
  <commentList>
    <comment ref="G104" authorId="0" shapeId="0" xr:uid="{F66EFFE8-D799-9F49-AD32-2881B94073D7}">
      <text>
        <r>
          <rPr>
            <b/>
            <sz val="10"/>
            <color rgb="FF000000"/>
            <rFont val="Tahoma"/>
            <family val="2"/>
          </rPr>
          <t>Yukeshan Easwaran: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From Inforce</t>
        </r>
      </text>
    </comment>
  </commentList>
</comments>
</file>

<file path=xl/sharedStrings.xml><?xml version="1.0" encoding="utf-8"?>
<sst xmlns="http://schemas.openxmlformats.org/spreadsheetml/2006/main" count="624" uniqueCount="157">
  <si>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</si>
  <si>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</si>
  <si>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</si>
  <si>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</si>
  <si>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</si>
  <si>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</si>
  <si>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</si>
  <si>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CL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</si>
  <si>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</si>
  <si>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</si>
  <si>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</si>
  <si>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r>
      <t>CS</t>
    </r>
    <r>
      <rPr>
        <vertAlign val="subscript"/>
        <sz val="10"/>
        <rFont val="Arial"/>
        <family val="2"/>
      </rPr>
      <t>t</t>
    </r>
  </si>
  <si>
    <r>
      <t>DE</t>
    </r>
    <r>
      <rPr>
        <vertAlign val="subscript"/>
        <sz val="10"/>
        <rFont val="Arial"/>
        <family val="2"/>
      </rPr>
      <t>t</t>
    </r>
  </si>
  <si>
    <t>Premium:</t>
  </si>
  <si>
    <t>Age</t>
  </si>
  <si>
    <t>Year</t>
  </si>
  <si>
    <t>Premium</t>
  </si>
  <si>
    <t>Commission</t>
  </si>
  <si>
    <t>Expenses</t>
  </si>
  <si>
    <t>Death Benefit</t>
  </si>
  <si>
    <t>Reserves per 1000</t>
  </si>
  <si>
    <t>Reserve</t>
  </si>
  <si>
    <t>Capital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</si>
  <si>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</si>
  <si>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</si>
  <si>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</si>
  <si>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</si>
  <si>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</si>
  <si>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</si>
  <si>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</si>
  <si>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</si>
  <si>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</si>
  <si>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</si>
  <si>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</si>
  <si>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</si>
  <si>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</si>
  <si>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</si>
  <si>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</si>
  <si>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</si>
  <si>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</si>
  <si>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</si>
  <si>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Surplus increase</t>
  </si>
  <si>
    <t>Dist Earnings</t>
  </si>
  <si>
    <t>Present Value of Profit:</t>
  </si>
  <si>
    <t>Assumption Information for Issue Age Person:</t>
  </si>
  <si>
    <t>Year of Issue</t>
  </si>
  <si>
    <t>Present Value of DE:</t>
  </si>
  <si>
    <t>Investment Earnings Rate:</t>
  </si>
  <si>
    <t>Discount Rate:</t>
  </si>
  <si>
    <t>Lapse Rates:</t>
  </si>
  <si>
    <t>Duration</t>
  </si>
  <si>
    <t>Rate</t>
  </si>
  <si>
    <t>Average Death Benefit at Age:</t>
  </si>
  <si>
    <t>2-5</t>
  </si>
  <si>
    <t>6-10</t>
  </si>
  <si>
    <t>11+</t>
  </si>
  <si>
    <t>Commissions (as % premium):</t>
  </si>
  <si>
    <t>Required Capital (per 1000 death benefit):</t>
  </si>
  <si>
    <t xml:space="preserve">60-80% </t>
  </si>
  <si>
    <t>2+</t>
  </si>
  <si>
    <t>5-10%</t>
  </si>
  <si>
    <t>Expenses (per policy):</t>
  </si>
  <si>
    <t>of policies are through an intermediary that takes commission</t>
  </si>
  <si>
    <t>Inflation Rate</t>
  </si>
  <si>
    <t>2001-2004</t>
  </si>
  <si>
    <t>Present Value of Profit</t>
  </si>
  <si>
    <t>Premium Loaded Premium</t>
  </si>
  <si>
    <t>Total</t>
  </si>
  <si>
    <t>Required Value</t>
  </si>
  <si>
    <t>PV at 5.5% Discount</t>
  </si>
  <si>
    <t>PV at 12% Discount</t>
  </si>
  <si>
    <t>Issue.age</t>
  </si>
  <si>
    <t>active_policy_count</t>
  </si>
  <si>
    <t>avg_FC_amt</t>
  </si>
  <si>
    <t>min_FC_amt</t>
  </si>
  <si>
    <t>max_FC_amt</t>
  </si>
  <si>
    <t>total_FC_amt</t>
  </si>
  <si>
    <t>Premium = 0</t>
  </si>
  <si>
    <t>Loaded Premium</t>
  </si>
  <si>
    <t>NPV (Without Intevention)</t>
  </si>
  <si>
    <t>Cost</t>
  </si>
  <si>
    <t>Range</t>
  </si>
  <si>
    <t>Intervention Expense</t>
  </si>
  <si>
    <t>870-3485</t>
  </si>
  <si>
    <t>*Universal Healthcare,</t>
  </si>
  <si>
    <t>Mortality Improvement</t>
  </si>
  <si>
    <t>Target</t>
  </si>
  <si>
    <t>Cessation Program: Expense Is only Attributable to the First Year</t>
  </si>
  <si>
    <t xml:space="preserve">*Throughout course of policy will have a level cash back on average it will be the savings obtained from intervention program </t>
  </si>
  <si>
    <t xml:space="preserve">*don’t need the on average </t>
  </si>
  <si>
    <t>NPV (With Intervention)</t>
  </si>
  <si>
    <t>Premium After Reduction</t>
  </si>
  <si>
    <t>NPV(With Intervention and Premium reduction)</t>
  </si>
  <si>
    <t>Difference</t>
  </si>
  <si>
    <t>Overall Estimated Claim Cost</t>
  </si>
  <si>
    <t>Overall Actual Claim Cost</t>
  </si>
  <si>
    <t>Mortality Savings</t>
  </si>
  <si>
    <t>Reduced Premium</t>
  </si>
  <si>
    <t>Weights of Issue Age: Composition</t>
  </si>
  <si>
    <t>Profits with intervention and premium reduction</t>
  </si>
  <si>
    <t>% Premium Reduction</t>
  </si>
  <si>
    <t>26-30</t>
  </si>
  <si>
    <t>31-35</t>
  </si>
  <si>
    <t>36-40</t>
  </si>
  <si>
    <t>Row Labels</t>
  </si>
  <si>
    <t>Exercise 13.2a - 10-Year Term Insurance</t>
  </si>
  <si>
    <t>*Based off external research</t>
  </si>
  <si>
    <t>Assumptions</t>
  </si>
  <si>
    <t>Investment Earning</t>
  </si>
  <si>
    <t>Average 1-year IR</t>
  </si>
  <si>
    <t>Inflation Adjusted But what is initial expenses and continuing expense/</t>
  </si>
  <si>
    <t>Reserves</t>
  </si>
  <si>
    <t>Cell D16, D17</t>
  </si>
  <si>
    <t>Level Premium</t>
  </si>
  <si>
    <t>Required Capital</t>
  </si>
  <si>
    <t>Estimated Claim Cost</t>
  </si>
  <si>
    <t>Actual Claim Cost</t>
  </si>
  <si>
    <t>Savings</t>
  </si>
  <si>
    <t>10 year</t>
  </si>
  <si>
    <t>Ages</t>
  </si>
  <si>
    <t>Average Face Value</t>
  </si>
  <si>
    <t>NPV (Savings) Used</t>
  </si>
  <si>
    <t>Lump Sum % of Premium</t>
  </si>
  <si>
    <t>Profits</t>
  </si>
  <si>
    <t>Savings Total</t>
  </si>
  <si>
    <t>NPV (Without Intervention)</t>
  </si>
  <si>
    <t>NPV(Without Intervention Over 10 Year Period)</t>
  </si>
  <si>
    <t>After 10 Years</t>
  </si>
  <si>
    <t>Incentives for Preventative Screening</t>
  </si>
  <si>
    <t>20-85</t>
  </si>
  <si>
    <t xml:space="preserve">Mortality Improvement </t>
  </si>
  <si>
    <t>Number of Initiatives</t>
  </si>
  <si>
    <t>Profitability</t>
  </si>
  <si>
    <t>Premium (After Reduction)</t>
  </si>
  <si>
    <t>NPV (with Intervention and Premium Reduction)</t>
  </si>
  <si>
    <t>Intervention Profits</t>
  </si>
  <si>
    <t>Composition of New Policies</t>
  </si>
  <si>
    <t>NPV (After 10 Years)</t>
  </si>
  <si>
    <t xml:space="preserve">Total </t>
  </si>
  <si>
    <t>Premium Reduction</t>
  </si>
  <si>
    <t>Percentage Savings</t>
  </si>
  <si>
    <t>31-45</t>
  </si>
  <si>
    <t>Profitability Percentage</t>
  </si>
  <si>
    <t xml:space="preserve">Issue Age </t>
  </si>
  <si>
    <t>NPV (With Intervention, With Reduction)</t>
  </si>
  <si>
    <t>Savings to Premium Reduction</t>
  </si>
  <si>
    <t>Sum of NPV</t>
  </si>
  <si>
    <t>Total Savings</t>
  </si>
  <si>
    <t>Total Claims</t>
  </si>
  <si>
    <t>Premium Reduction (46-55)</t>
  </si>
  <si>
    <t>Increase in Profitability</t>
  </si>
  <si>
    <t>Premium Reduction (56-65)</t>
  </si>
  <si>
    <t>Weighted Sum</t>
  </si>
  <si>
    <t>qx</t>
  </si>
  <si>
    <t>% of Smokers (Approx)</t>
  </si>
  <si>
    <t>qx (Non-smokers)</t>
  </si>
  <si>
    <t>qx (Smokers)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</si>
</sst>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#,##0.000000"/>
    <numFmt numFmtId="167" formatCode="0.000000"/>
    <numFmt numFmtId="168" formatCode="0.000"/>
    <numFmt numFmtId="169" formatCode="0.00000"/>
    <numFmt numFmtId="170" formatCode="_(* #,##0.0_);_(* \(#,##0.0\);_(* &quot;-&quot;?_);_(@_)"/>
    <numFmt numFmtId="171" formatCode="_-[$$-C09]* #,##0.00_-;\-[$$-C09]* #,##0.00_-;_-[$$-C09]* &quot;-&quot;??_-;_-@_-"/>
    <numFmt numFmtId="172" formatCode="&quot;$&quot;#,##0.00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B050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2"/>
      <color rgb="FF000000"/>
      <name val="Calibri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D6DADC"/>
      </right>
      <top/>
      <bottom style="thin">
        <color rgb="FFD6DAD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21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9" fontId="0" fillId="0" borderId="0" xfId="3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Alignment="1"/>
    <xf numFmtId="0" fontId="0" fillId="0" borderId="0" xfId="0" applyAlignment="1">
      <alignment horizontal="left"/>
    </xf>
    <xf numFmtId="165" fontId="0" fillId="0" borderId="0" xfId="3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3" applyNumberFormat="1" applyFont="1" applyAlignment="1">
      <alignment horizontal="center"/>
    </xf>
    <xf numFmtId="165" fontId="0" fillId="2" borderId="0" xfId="3" applyNumberFormat="1" applyFont="1" applyFill="1" applyAlignment="1">
      <alignment horizontal="center"/>
    </xf>
    <xf numFmtId="1" fontId="0" fillId="2" borderId="0" xfId="3" applyNumberFormat="1" applyFont="1" applyFill="1" applyAlignment="1">
      <alignment horizontal="center"/>
    </xf>
    <xf numFmtId="164" fontId="0" fillId="0" borderId="0" xfId="0" applyNumberFormat="1"/>
    <xf numFmtId="1" fontId="0" fillId="0" borderId="0" xfId="0" applyNumberFormat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7" fontId="0" fillId="0" borderId="0" xfId="3" applyNumberFormat="1" applyFont="1" applyAlignment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0" fontId="0" fillId="0" borderId="0" xfId="3" applyNumberFormat="1" applyFont="1" applyAlignment="1"/>
    <xf numFmtId="43" fontId="0" fillId="0" borderId="0" xfId="1" applyFont="1" applyAlignment="1"/>
    <xf numFmtId="0" fontId="0" fillId="5" borderId="0" xfId="0" applyFill="1" applyAlignment="1">
      <alignment horizontal="centerContinuous"/>
    </xf>
    <xf numFmtId="168" fontId="0" fillId="0" borderId="0" xfId="0" quotePrefix="1" applyNumberFormat="1"/>
    <xf numFmtId="10" fontId="0" fillId="0" borderId="0" xfId="0" applyNumberFormat="1"/>
    <xf numFmtId="166" fontId="0" fillId="0" borderId="0" xfId="0" applyNumberFormat="1"/>
    <xf numFmtId="9" fontId="0" fillId="0" borderId="0" xfId="0" quotePrefix="1" applyNumberFormat="1"/>
    <xf numFmtId="167" fontId="0" fillId="0" borderId="0" xfId="0" applyNumberFormat="1"/>
    <xf numFmtId="1" fontId="0" fillId="0" borderId="0" xfId="0" quotePrefix="1" applyNumberFormat="1"/>
    <xf numFmtId="169" fontId="0" fillId="0" borderId="0" xfId="0" applyNumberFormat="1"/>
    <xf numFmtId="169" fontId="0" fillId="0" borderId="0" xfId="0" quotePrefix="1" applyNumberFormat="1"/>
    <xf numFmtId="169" fontId="0" fillId="3" borderId="0" xfId="0" applyNumberFormat="1" applyFill="1"/>
    <xf numFmtId="164" fontId="0" fillId="0" borderId="0" xfId="1" quotePrefix="1" applyNumberFormat="1" applyFont="1" applyAlignment="1"/>
    <xf numFmtId="43" fontId="0" fillId="2" borderId="0" xfId="1" applyFont="1" applyFill="1" applyAlignment="1">
      <alignment horizontal="center"/>
    </xf>
    <xf numFmtId="43" fontId="0" fillId="2" borderId="0" xfId="1" applyFont="1" applyFill="1" applyAlignment="1"/>
    <xf numFmtId="0" fontId="6" fillId="0" borderId="0" xfId="0" applyFont="1"/>
    <xf numFmtId="167" fontId="0" fillId="0" borderId="0" xfId="0" quotePrefix="1" applyNumberFormat="1"/>
    <xf numFmtId="0" fontId="5" fillId="0" borderId="0" xfId="0" applyFont="1"/>
    <xf numFmtId="43" fontId="0" fillId="0" borderId="0" xfId="0" applyNumberFormat="1"/>
    <xf numFmtId="44" fontId="0" fillId="0" borderId="0" xfId="2" applyFon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0" quotePrefix="1" applyNumberFormat="1" applyAlignment="1">
      <alignment horizontal="center"/>
    </xf>
    <xf numFmtId="9" fontId="0" fillId="0" borderId="0" xfId="0" applyNumberFormat="1"/>
    <xf numFmtId="168" fontId="0" fillId="0" borderId="0" xfId="0" applyNumberFormat="1"/>
    <xf numFmtId="0" fontId="2" fillId="0" borderId="0" xfId="0" applyFont="1"/>
    <xf numFmtId="10" fontId="2" fillId="0" borderId="0" xfId="0" applyNumberFormat="1" applyFont="1"/>
    <xf numFmtId="0" fontId="2" fillId="4" borderId="0" xfId="0" applyFont="1" applyFill="1" applyAlignment="1">
      <alignment horizontal="left"/>
    </xf>
    <xf numFmtId="170" fontId="0" fillId="0" borderId="0" xfId="0" applyNumberFormat="1"/>
    <xf numFmtId="0" fontId="2" fillId="0" borderId="0" xfId="0" applyFont="1" applyAlignment="1">
      <alignment wrapText="1"/>
    </xf>
    <xf numFmtId="1" fontId="2" fillId="0" borderId="0" xfId="0" quotePrefix="1" applyNumberFormat="1" applyFont="1" applyAlignment="1">
      <alignment horizontal="center"/>
    </xf>
    <xf numFmtId="166" fontId="2" fillId="0" borderId="0" xfId="3" applyNumberFormat="1" applyFont="1" applyAlignment="1">
      <alignment horizontal="center"/>
    </xf>
    <xf numFmtId="9" fontId="0" fillId="0" borderId="0" xfId="3" quotePrefix="1" applyFont="1" applyAlignment="1">
      <alignment horizontal="center"/>
    </xf>
    <xf numFmtId="1" fontId="2" fillId="0" borderId="0" xfId="0" applyNumberFormat="1" applyFont="1"/>
    <xf numFmtId="0" fontId="3" fillId="0" borderId="1" xfId="0" applyFont="1" applyBorder="1"/>
    <xf numFmtId="11" fontId="3" fillId="0" borderId="1" xfId="0" applyNumberFormat="1" applyFont="1" applyBorder="1"/>
    <xf numFmtId="0" fontId="9" fillId="0" borderId="0" xfId="0" applyFont="1"/>
    <xf numFmtId="2" fontId="0" fillId="0" borderId="0" xfId="0" applyNumberFormat="1"/>
    <xf numFmtId="9" fontId="0" fillId="0" borderId="0" xfId="3" applyFont="1"/>
    <xf numFmtId="0" fontId="0" fillId="6" borderId="0" xfId="0" applyFill="1"/>
    <xf numFmtId="44" fontId="11" fillId="6" borderId="1" xfId="2" applyFont="1" applyFill="1" applyBorder="1" applyAlignment="1">
      <alignment wrapText="1"/>
    </xf>
    <xf numFmtId="0" fontId="2" fillId="0" borderId="2" xfId="0" applyFont="1" applyBorder="1"/>
    <xf numFmtId="1" fontId="0" fillId="0" borderId="2" xfId="0" quotePrefix="1" applyNumberFormat="1" applyBorder="1" applyAlignment="1">
      <alignment horizontal="center"/>
    </xf>
    <xf numFmtId="0" fontId="0" fillId="0" borderId="2" xfId="0" applyBorder="1"/>
    <xf numFmtId="8" fontId="0" fillId="0" borderId="2" xfId="0" applyNumberFormat="1" applyBorder="1"/>
    <xf numFmtId="171" fontId="0" fillId="0" borderId="2" xfId="0" applyNumberFormat="1" applyBorder="1"/>
    <xf numFmtId="10" fontId="0" fillId="0" borderId="2" xfId="3" applyNumberFormat="1" applyFont="1" applyBorder="1"/>
    <xf numFmtId="8" fontId="2" fillId="0" borderId="2" xfId="0" applyNumberFormat="1" applyFont="1" applyBorder="1"/>
    <xf numFmtId="9" fontId="0" fillId="0" borderId="2" xfId="0" applyNumberFormat="1" applyBorder="1"/>
    <xf numFmtId="44" fontId="0" fillId="0" borderId="2" xfId="2" applyFont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9" fontId="2" fillId="4" borderId="0" xfId="3" applyFont="1" applyFill="1" applyAlignment="1">
      <alignment horizontal="center"/>
    </xf>
    <xf numFmtId="9" fontId="2" fillId="3" borderId="0" xfId="3" applyFont="1" applyFill="1" applyAlignment="1">
      <alignment horizontal="center"/>
    </xf>
    <xf numFmtId="0" fontId="2" fillId="3" borderId="0" xfId="0" applyFont="1" applyFill="1" applyAlignment="1">
      <alignment horizontal="left"/>
    </xf>
    <xf numFmtId="43" fontId="2" fillId="2" borderId="0" xfId="1" applyFont="1" applyFill="1" applyAlignment="1">
      <alignment horizontal="center"/>
    </xf>
    <xf numFmtId="0" fontId="2" fillId="4" borderId="0" xfId="0" applyFont="1" applyFill="1"/>
    <xf numFmtId="165" fontId="2" fillId="3" borderId="0" xfId="3" applyNumberFormat="1" applyFont="1" applyFill="1" applyAlignment="1">
      <alignment horizontal="center" wrapText="1"/>
    </xf>
    <xf numFmtId="9" fontId="2" fillId="4" borderId="0" xfId="3" applyFont="1" applyFill="1" applyAlignment="1">
      <alignment horizontal="center" wrapText="1"/>
    </xf>
    <xf numFmtId="164" fontId="2" fillId="4" borderId="2" xfId="1" applyNumberFormat="1" applyFont="1" applyFill="1" applyBorder="1" applyAlignment="1">
      <alignment horizontal="center"/>
    </xf>
    <xf numFmtId="8" fontId="0" fillId="0" borderId="2" xfId="2" applyNumberFormat="1" applyFont="1" applyBorder="1" applyAlignment="1">
      <alignment horizontal="center"/>
    </xf>
    <xf numFmtId="44" fontId="0" fillId="0" borderId="2" xfId="0" applyNumberFormat="1" applyBorder="1"/>
    <xf numFmtId="44" fontId="2" fillId="0" borderId="2" xfId="0" applyNumberFormat="1" applyFont="1" applyBorder="1"/>
    <xf numFmtId="7" fontId="0" fillId="0" borderId="0" xfId="0" applyNumberFormat="1"/>
    <xf numFmtId="172" fontId="0" fillId="0" borderId="0" xfId="0" applyNumberFormat="1"/>
    <xf numFmtId="0" fontId="0" fillId="7" borderId="2" xfId="0" applyFill="1" applyBorder="1"/>
    <xf numFmtId="7" fontId="0" fillId="0" borderId="2" xfId="0" applyNumberFormat="1" applyBorder="1"/>
    <xf numFmtId="44" fontId="0" fillId="0" borderId="0" xfId="2" applyFont="1"/>
    <xf numFmtId="8" fontId="0" fillId="0" borderId="0" xfId="0" applyNumberFormat="1"/>
    <xf numFmtId="44" fontId="0" fillId="0" borderId="0" xfId="0" applyNumberFormat="1"/>
    <xf numFmtId="44" fontId="2" fillId="0" borderId="0" xfId="0" applyNumberFormat="1" applyFont="1"/>
    <xf numFmtId="8" fontId="0" fillId="0" borderId="0" xfId="2" applyNumberFormat="1" applyFont="1" applyAlignment="1">
      <alignment horizontal="center"/>
    </xf>
    <xf numFmtId="0" fontId="0" fillId="0" borderId="2" xfId="0" applyBorder="1" applyAlignment="1">
      <alignment wrapText="1"/>
    </xf>
    <xf numFmtId="7" fontId="0" fillId="0" borderId="0" xfId="2" applyNumberFormat="1" applyFont="1"/>
    <xf numFmtId="8" fontId="3" fillId="0" borderId="1" xfId="0" applyNumberFormat="1" applyFont="1" applyBorder="1"/>
    <xf numFmtId="165" fontId="0" fillId="0" borderId="0" xfId="3" applyNumberFormat="1" applyFont="1"/>
    <xf numFmtId="10" fontId="0" fillId="0" borderId="0" xfId="3" applyNumberFormat="1" applyFont="1"/>
    <xf numFmtId="7" fontId="0" fillId="0" borderId="2" xfId="2" applyNumberFormat="1" applyFont="1" applyBorder="1"/>
    <xf numFmtId="0" fontId="2" fillId="7" borderId="2" xfId="0" applyFont="1" applyFill="1" applyBorder="1"/>
    <xf numFmtId="0" fontId="0" fillId="0" borderId="3" xfId="0" applyBorder="1"/>
    <xf numFmtId="7" fontId="0" fillId="0" borderId="3" xfId="0" applyNumberFormat="1" applyBorder="1"/>
    <xf numFmtId="0" fontId="0" fillId="0" borderId="4" xfId="0" applyBorder="1"/>
    <xf numFmtId="7" fontId="0" fillId="0" borderId="4" xfId="0" applyNumberFormat="1" applyBorder="1"/>
    <xf numFmtId="165" fontId="2" fillId="8" borderId="0" xfId="0" applyNumberFormat="1" applyFont="1" applyFill="1" applyAlignment="1">
      <alignment horizontal="center" wrapText="1"/>
    </xf>
    <xf numFmtId="0" fontId="9" fillId="0" borderId="2" xfId="0" applyFont="1" applyBorder="1"/>
    <xf numFmtId="7" fontId="9" fillId="0" borderId="2" xfId="0" applyNumberFormat="1" applyFont="1" applyBorder="1"/>
    <xf numFmtId="7" fontId="9" fillId="0" borderId="3" xfId="0" applyNumberFormat="1" applyFont="1" applyBorder="1"/>
    <xf numFmtId="0" fontId="2" fillId="0" borderId="2" xfId="0" applyFont="1" applyBorder="1" applyAlignment="1">
      <alignment wrapText="1"/>
    </xf>
    <xf numFmtId="2" fontId="0" fillId="0" borderId="2" xfId="0" applyNumberFormat="1" applyBorder="1"/>
    <xf numFmtId="7" fontId="9" fillId="0" borderId="0" xfId="0" applyNumberFormat="1" applyFont="1"/>
    <xf numFmtId="7" fontId="0" fillId="0" borderId="6" xfId="0" applyNumberFormat="1" applyBorder="1"/>
    <xf numFmtId="7" fontId="2" fillId="0" borderId="2" xfId="0" applyNumberFormat="1" applyFont="1" applyBorder="1"/>
    <xf numFmtId="7" fontId="2" fillId="0" borderId="0" xfId="0" applyNumberFormat="1" applyFont="1"/>
    <xf numFmtId="44" fontId="0" fillId="0" borderId="0" xfId="2" applyFont="1" applyBorder="1"/>
    <xf numFmtId="44" fontId="0" fillId="0" borderId="4" xfId="2" applyFont="1" applyBorder="1"/>
    <xf numFmtId="172" fontId="0" fillId="0" borderId="4" xfId="0" applyNumberFormat="1" applyBorder="1"/>
    <xf numFmtId="44" fontId="0" fillId="0" borderId="0" xfId="2" applyFont="1" applyFill="1" applyBorder="1"/>
    <xf numFmtId="44" fontId="0" fillId="0" borderId="0" xfId="2" applyFont="1" applyFill="1"/>
    <xf numFmtId="8" fontId="0" fillId="0" borderId="6" xfId="0" applyNumberFormat="1" applyBorder="1"/>
    <xf numFmtId="2" fontId="0" fillId="0" borderId="0" xfId="3" applyNumberFormat="1" applyFont="1" applyAlignment="1"/>
    <xf numFmtId="44" fontId="0" fillId="0" borderId="0" xfId="2" applyFont="1" applyAlignment="1"/>
    <xf numFmtId="2" fontId="2" fillId="0" borderId="0" xfId="3" applyNumberFormat="1" applyFont="1" applyAlignment="1"/>
    <xf numFmtId="164" fontId="2" fillId="0" borderId="0" xfId="0" applyNumberFormat="1" applyFont="1"/>
    <xf numFmtId="7" fontId="2" fillId="0" borderId="7" xfId="0" applyNumberFormat="1" applyFont="1" applyBorder="1"/>
    <xf numFmtId="8" fontId="2" fillId="0" borderId="7" xfId="0" applyNumberFormat="1" applyFont="1" applyBorder="1"/>
    <xf numFmtId="44" fontId="2" fillId="0" borderId="2" xfId="2" applyFont="1" applyBorder="1" applyAlignment="1">
      <alignment wrapText="1"/>
    </xf>
    <xf numFmtId="7" fontId="0" fillId="0" borderId="0" xfId="2" applyNumberFormat="1" applyFont="1" applyBorder="1"/>
    <xf numFmtId="7" fontId="9" fillId="0" borderId="4" xfId="0" applyNumberFormat="1" applyFont="1" applyBorder="1"/>
    <xf numFmtId="7" fontId="0" fillId="0" borderId="4" xfId="2" applyNumberFormat="1" applyFont="1" applyBorder="1"/>
    <xf numFmtId="44" fontId="0" fillId="0" borderId="4" xfId="0" applyNumberFormat="1" applyBorder="1"/>
    <xf numFmtId="165" fontId="0" fillId="0" borderId="0" xfId="3" applyNumberFormat="1" applyFont="1" applyBorder="1"/>
    <xf numFmtId="10" fontId="0" fillId="0" borderId="0" xfId="3" applyNumberFormat="1" applyFont="1" applyBorder="1"/>
    <xf numFmtId="9" fontId="0" fillId="0" borderId="0" xfId="3" applyFont="1" applyFill="1"/>
    <xf numFmtId="171" fontId="0" fillId="0" borderId="0" xfId="0" applyNumberFormat="1"/>
    <xf numFmtId="165" fontId="0" fillId="0" borderId="0" xfId="0" applyNumberFormat="1"/>
    <xf numFmtId="0" fontId="2" fillId="9" borderId="2" xfId="0" applyFont="1" applyFill="1" applyBorder="1" applyAlignment="1">
      <alignment wrapText="1"/>
    </xf>
    <xf numFmtId="7" fontId="0" fillId="9" borderId="2" xfId="2" applyNumberFormat="1" applyFont="1" applyFill="1" applyBorder="1"/>
    <xf numFmtId="44" fontId="0" fillId="9" borderId="2" xfId="2" applyFont="1" applyFill="1" applyBorder="1"/>
    <xf numFmtId="7" fontId="0" fillId="9" borderId="3" xfId="2" applyNumberFormat="1" applyFont="1" applyFill="1" applyBorder="1"/>
    <xf numFmtId="0" fontId="0" fillId="10" borderId="0" xfId="0" applyFill="1"/>
    <xf numFmtId="0" fontId="0" fillId="0" borderId="7" xfId="0" applyBorder="1"/>
    <xf numFmtId="0" fontId="2" fillId="10" borderId="2" xfId="0" applyFont="1" applyFill="1" applyBorder="1" applyAlignment="1">
      <alignment wrapText="1"/>
    </xf>
    <xf numFmtId="7" fontId="2" fillId="0" borderId="0" xfId="2" applyNumberFormat="1" applyFont="1" applyBorder="1" applyAlignment="1">
      <alignment wrapText="1"/>
    </xf>
    <xf numFmtId="0" fontId="9" fillId="0" borderId="0" xfId="0" applyFont="1" applyAlignment="1">
      <alignment wrapText="1"/>
    </xf>
    <xf numFmtId="0" fontId="2" fillId="0" borderId="4" xfId="0" applyFont="1" applyBorder="1" applyAlignment="1">
      <alignment wrapText="1"/>
    </xf>
    <xf numFmtId="10" fontId="9" fillId="0" borderId="2" xfId="3" applyNumberFormat="1" applyFont="1" applyBorder="1"/>
    <xf numFmtId="0" fontId="2" fillId="0" borderId="3" xfId="0" applyFont="1" applyBorder="1"/>
    <xf numFmtId="0" fontId="2" fillId="0" borderId="8" xfId="0" applyFont="1" applyBorder="1"/>
    <xf numFmtId="7" fontId="0" fillId="0" borderId="2" xfId="3" applyNumberFormat="1" applyFont="1" applyBorder="1"/>
    <xf numFmtId="0" fontId="9" fillId="0" borderId="3" xfId="0" applyFont="1" applyBorder="1"/>
    <xf numFmtId="3" fontId="0" fillId="0" borderId="2" xfId="0" applyNumberFormat="1" applyBorder="1"/>
    <xf numFmtId="165" fontId="2" fillId="0" borderId="0" xfId="3" applyNumberFormat="1" applyFont="1"/>
    <xf numFmtId="165" fontId="2" fillId="0" borderId="0" xfId="3" quotePrefix="1" applyNumberFormat="1" applyFont="1" applyAlignment="1">
      <alignment horizontal="center"/>
    </xf>
    <xf numFmtId="0" fontId="9" fillId="0" borderId="2" xfId="0" applyFont="1" applyBorder="1" applyAlignment="1">
      <alignment wrapText="1"/>
    </xf>
    <xf numFmtId="9" fontId="2" fillId="0" borderId="2" xfId="0" applyNumberFormat="1" applyFont="1" applyBorder="1"/>
    <xf numFmtId="10" fontId="2" fillId="0" borderId="0" xfId="3" applyNumberFormat="1" applyFont="1" applyBorder="1" applyAlignment="1">
      <alignment wrapText="1"/>
    </xf>
    <xf numFmtId="9" fontId="0" fillId="0" borderId="2" xfId="3" applyFont="1" applyBorder="1"/>
    <xf numFmtId="7" fontId="0" fillId="9" borderId="0" xfId="2" applyNumberFormat="1" applyFont="1" applyFill="1" applyBorder="1"/>
    <xf numFmtId="7" fontId="0" fillId="0" borderId="5" xfId="0" applyNumberFormat="1" applyBorder="1"/>
    <xf numFmtId="8" fontId="0" fillId="0" borderId="5" xfId="0" applyNumberFormat="1" applyBorder="1"/>
    <xf numFmtId="165" fontId="0" fillId="0" borderId="2" xfId="3" applyNumberFormat="1" applyFont="1" applyBorder="1"/>
    <xf numFmtId="44" fontId="9" fillId="0" borderId="2" xfId="2" applyFont="1" applyBorder="1"/>
    <xf numFmtId="44" fontId="9" fillId="0" borderId="3" xfId="2" applyFont="1" applyBorder="1"/>
    <xf numFmtId="10" fontId="12" fillId="0" borderId="0" xfId="0" applyNumberFormat="1" applyFont="1"/>
    <xf numFmtId="10" fontId="0" fillId="0" borderId="0" xfId="3" quotePrefix="1" applyNumberFormat="1" applyFont="1" applyAlignment="1">
      <alignment horizontal="center"/>
    </xf>
    <xf numFmtId="10" fontId="12" fillId="0" borderId="2" xfId="0" applyNumberFormat="1" applyFont="1" applyBorder="1"/>
    <xf numFmtId="166" fontId="0" fillId="0" borderId="0" xfId="3" applyNumberFormat="1" applyFont="1" applyFill="1" applyAlignment="1">
      <alignment horizontal="center"/>
    </xf>
    <xf numFmtId="44" fontId="3" fillId="0" borderId="0" xfId="2" applyFont="1" applyFill="1" applyBorder="1"/>
    <xf numFmtId="43" fontId="0" fillId="0" borderId="0" xfId="1" applyFont="1" applyFill="1" applyBorder="1" applyAlignment="1">
      <alignment horizontal="center"/>
    </xf>
    <xf numFmtId="7" fontId="13" fillId="0" borderId="2" xfId="0" applyNumberFormat="1" applyFont="1" applyBorder="1"/>
    <xf numFmtId="7" fontId="13" fillId="0" borderId="3" xfId="0" applyNumberFormat="1" applyFont="1" applyBorder="1"/>
    <xf numFmtId="44" fontId="9" fillId="0" borderId="9" xfId="2" applyFont="1" applyBorder="1"/>
    <xf numFmtId="44" fontId="9" fillId="0" borderId="10" xfId="2" applyFont="1" applyBorder="1"/>
    <xf numFmtId="0" fontId="0" fillId="0" borderId="5" xfId="0" applyBorder="1"/>
    <xf numFmtId="0" fontId="0" fillId="0" borderId="11" xfId="0" applyBorder="1"/>
    <xf numFmtId="0" fontId="0" fillId="0" borderId="10" xfId="0" applyBorder="1"/>
    <xf numFmtId="0" fontId="0" fillId="0" borderId="8" xfId="0" applyBorder="1"/>
    <xf numFmtId="0" fontId="0" fillId="0" borderId="12" xfId="0" applyBorder="1"/>
    <xf numFmtId="0" fontId="0" fillId="0" borderId="13" xfId="0" applyBorder="1"/>
    <xf numFmtId="7" fontId="9" fillId="0" borderId="2" xfId="2" applyNumberFormat="1" applyFont="1" applyBorder="1"/>
    <xf numFmtId="172" fontId="9" fillId="0" borderId="2" xfId="0" applyNumberFormat="1" applyFont="1" applyBorder="1"/>
    <xf numFmtId="172" fontId="9" fillId="0" borderId="0" xfId="0" applyNumberFormat="1" applyFont="1"/>
    <xf numFmtId="10" fontId="0" fillId="0" borderId="2" xfId="0" applyNumberFormat="1" applyBorder="1"/>
    <xf numFmtId="44" fontId="2" fillId="0" borderId="2" xfId="2" applyFont="1" applyBorder="1"/>
    <xf numFmtId="44" fontId="2" fillId="0" borderId="2" xfId="2" applyFont="1" applyFill="1" applyBorder="1"/>
    <xf numFmtId="44" fontId="0" fillId="0" borderId="2" xfId="2" applyFont="1" applyFill="1" applyBorder="1"/>
    <xf numFmtId="8" fontId="0" fillId="0" borderId="0" xfId="2" applyNumberFormat="1" applyFont="1" applyBorder="1" applyAlignment="1">
      <alignment horizontal="center"/>
    </xf>
    <xf numFmtId="8" fontId="2" fillId="0" borderId="0" xfId="0" applyNumberFormat="1" applyFont="1"/>
    <xf numFmtId="164" fontId="2" fillId="0" borderId="0" xfId="1" applyNumberFormat="1" applyFont="1" applyFill="1" applyBorder="1" applyAlignment="1">
      <alignment horizontal="center"/>
    </xf>
    <xf numFmtId="8" fontId="0" fillId="0" borderId="0" xfId="2" applyNumberFormat="1" applyFont="1" applyFill="1" applyBorder="1" applyAlignment="1">
      <alignment horizontal="center"/>
    </xf>
    <xf numFmtId="10" fontId="0" fillId="0" borderId="0" xfId="3" applyNumberFormat="1" applyFont="1" applyFill="1" applyBorder="1"/>
    <xf numFmtId="0" fontId="3" fillId="0" borderId="2" xfId="0" applyFont="1" applyBorder="1"/>
    <xf numFmtId="44" fontId="3" fillId="0" borderId="2" xfId="2" applyFont="1" applyBorder="1"/>
    <xf numFmtId="11" fontId="3" fillId="0" borderId="2" xfId="0" applyNumberFormat="1" applyFont="1" applyBorder="1"/>
    <xf numFmtId="7" fontId="0" fillId="0" borderId="2" xfId="2" applyNumberFormat="1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8">
    <cellStyle name="Comma" xfId="1" builtinId="3"/>
    <cellStyle name="Currency" xfId="2" builtinId="4"/>
    <cellStyle name="Normal" xfId="0" builtinId="0"/>
    <cellStyle name="Normal 2" xfId="4" xr:uid="{3103A6B9-7284-4E42-B67B-D70963E262A1}"/>
    <cellStyle name="Normal 3" xfId="5" xr:uid="{B7E1CC01-9882-45A8-B5AF-5AF6FE136B22}"/>
    <cellStyle name="Normal 4" xfId="7" xr:uid="{290BB07A-3A22-E64F-AA06-680AAF501902}"/>
    <cellStyle name="Per cent" xfId="3" builtinId="5"/>
    <cellStyle name="Percent 2" xfId="6" xr:uid="{E33888C0-FAE2-4069-834A-D9C6FAE93B86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31</xdr:row>
          <xdr:rowOff>63500</xdr:rowOff>
        </xdr:from>
        <xdr:to>
          <xdr:col>3</xdr:col>
          <xdr:colOff>495300</xdr:colOff>
          <xdr:row>33</xdr:row>
          <xdr:rowOff>114300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1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177800</xdr:colOff>
          <xdr:row>32</xdr:row>
          <xdr:rowOff>76200</xdr:rowOff>
        </xdr:from>
        <xdr:to>
          <xdr:col>3</xdr:col>
          <xdr:colOff>431800</xdr:colOff>
          <xdr:row>33</xdr:row>
          <xdr:rowOff>101600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42</xdr:row>
          <xdr:rowOff>139700</xdr:rowOff>
        </xdr:from>
        <xdr:to>
          <xdr:col>1</xdr:col>
          <xdr:colOff>1828800</xdr:colOff>
          <xdr:row>45</xdr:row>
          <xdr:rowOff>25400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7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96"/>
  <sheetViews>
    <sheetView tabSelected="1" workbookViewId="0">
      <pane ySplit="3" topLeftCell="A4" activePane="bottomLeft" state="frozen"/>
      <selection pane="bottomLeft" activeCell="E18" sqref="E18"/>
    </sheetView>
  </sheetViews>
  <sheetFormatPr baseColWidth="10" defaultColWidth="10.6640625" defaultRowHeight="13" x14ac:dyDescent="0.15"/>
  <cols>
    <col min="1" max="1" width="12.6640625" customWidth="1"/>
    <col min="2" max="2" width="24.33203125" customWidth="1"/>
    <col min="3" max="3" width="16.6640625" customWidth="1"/>
    <col min="5" max="5" width="12.5" bestFit="1" customWidth="1"/>
    <col min="6" max="6" width="41.33203125" customWidth="1"/>
    <col min="7" max="7" width="19.5" customWidth="1"/>
    <col min="8" max="8" width="18.5" customWidth="1"/>
    <col min="9" max="9" width="15.6640625" customWidth="1"/>
    <col min="10" max="10" width="17.1640625" customWidth="1"/>
    <col min="11" max="11" width="23.5" customWidth="1"/>
    <col min="12" max="12" width="19.6640625" customWidth="1"/>
    <col min="13" max="13" width="25.5" customWidth="1"/>
    <col min="14" max="14" width="21.6640625" customWidth="1"/>
    <col min="15" max="15" width="34.5" customWidth="1"/>
    <col min="16" max="16" width="24" customWidth="1"/>
    <col min="17" max="17" width="11.1640625" customWidth="1"/>
    <col min="18" max="18" width="5.6640625" customWidth="1"/>
    <col min="19" max="19" width="14.83203125" customWidth="1"/>
    <col min="20" max="20" width="17" customWidth="1"/>
    <col min="21" max="21" width="16.83203125" customWidth="1"/>
    <col min="24" max="24" width="15.1640625" customWidth="1"/>
    <col min="25" max="25" width="5.6640625" customWidth="1"/>
    <col min="26" max="29" width="10.6640625" customWidth="1"/>
    <col min="30" max="30" width="21.6640625" customWidth="1"/>
    <col min="32" max="32" width="11.33203125" customWidth="1"/>
    <col min="34" max="34" width="14.5" customWidth="1"/>
    <col min="35" max="35" width="15.5" customWidth="1"/>
    <col min="38" max="38" width="12.5" customWidth="1"/>
    <col min="39" max="39" width="12.1640625" customWidth="1"/>
    <col min="40" max="40" width="13.5" customWidth="1"/>
    <col min="42" max="42" width="16.1640625" customWidth="1"/>
    <col min="45" max="45" width="13.83203125" customWidth="1"/>
    <col min="46" max="46" width="17.33203125" customWidth="1"/>
    <col min="47" max="47" width="11.1640625" customWidth="1"/>
    <col min="51" max="51" width="9.5" bestFit="1" customWidth="1"/>
  </cols>
  <sheetData>
    <row r="1" spans="1:51" ht="16" x14ac:dyDescent="0.2">
      <c r="A1" s="42"/>
      <c r="AE1" s="202" t="s">
        <v>0</v>
      </c>
      <c r="AF1" s="203"/>
      <c r="AG1" s="203"/>
      <c r="AH1" s="203"/>
      <c r="AI1" s="203"/>
      <c r="AJ1" s="203"/>
      <c r="AK1" s="204"/>
      <c r="AL1" s="204"/>
      <c r="AM1" s="204"/>
      <c r="AN1" s="204"/>
    </row>
    <row r="2" spans="1:51" ht="15" x14ac:dyDescent="0.2">
      <c r="K2" s="29" t="s">
        <v>1</v>
      </c>
      <c r="L2" s="29"/>
      <c r="M2" s="29"/>
      <c r="N2" s="29"/>
      <c r="O2" s="29"/>
      <c r="P2" s="29"/>
      <c r="Q2" s="29"/>
      <c r="S2" s="205" t="s">
        <v>2</v>
      </c>
      <c r="T2" s="206"/>
      <c r="U2" s="206"/>
      <c r="V2" s="206"/>
      <c r="W2" s="207"/>
      <c r="X2" s="208"/>
      <c r="Z2" s="209" t="s">
        <v>3</v>
      </c>
      <c r="AA2" s="210"/>
      <c r="AB2" s="210"/>
      <c r="AC2" s="210"/>
      <c r="AE2" s="2" t="s">
        <v>4</v>
      </c>
      <c r="AF2" s="2" t="s">
        <v>5</v>
      </c>
      <c r="AG2" s="2" t="s">
        <v>6</v>
      </c>
      <c r="AH2" s="2" t="s">
        <v>7</v>
      </c>
      <c r="AI2" s="2"/>
      <c r="AJ2" s="2" t="s">
        <v>8</v>
      </c>
      <c r="AK2" s="2" t="s">
        <v>9</v>
      </c>
      <c r="AL2" s="2" t="s">
        <v>10</v>
      </c>
      <c r="AM2" s="2" t="s">
        <v>11</v>
      </c>
      <c r="AN2" s="2" t="s">
        <v>12</v>
      </c>
    </row>
    <row r="3" spans="1:51" ht="28" x14ac:dyDescent="0.15">
      <c r="G3" t="s">
        <v>13</v>
      </c>
      <c r="H3" s="111">
        <v>6930.5600826576601</v>
      </c>
      <c r="I3" s="82" t="s">
        <v>14</v>
      </c>
      <c r="J3" s="76" t="s">
        <v>15</v>
      </c>
      <c r="K3" s="2" t="s">
        <v>16</v>
      </c>
      <c r="L3" s="2" t="s">
        <v>17</v>
      </c>
      <c r="M3" s="2" t="s">
        <v>18</v>
      </c>
      <c r="N3" s="77" t="s">
        <v>19</v>
      </c>
      <c r="O3" s="77" t="s">
        <v>20</v>
      </c>
      <c r="P3" s="77" t="s">
        <v>21</v>
      </c>
      <c r="Q3" s="77" t="s">
        <v>22</v>
      </c>
      <c r="R3" s="77"/>
      <c r="S3" s="77" t="s">
        <v>23</v>
      </c>
      <c r="T3" s="77" t="s">
        <v>24</v>
      </c>
      <c r="U3" s="77" t="s">
        <v>25</v>
      </c>
      <c r="V3" s="77" t="s">
        <v>26</v>
      </c>
      <c r="W3" s="77" t="s">
        <v>27</v>
      </c>
      <c r="X3" s="77" t="s">
        <v>28</v>
      </c>
      <c r="Y3" s="77"/>
      <c r="Z3" s="77" t="s">
        <v>29</v>
      </c>
      <c r="AA3" s="77" t="s">
        <v>30</v>
      </c>
      <c r="AB3" s="77" t="s">
        <v>31</v>
      </c>
      <c r="AC3" s="77" t="s">
        <v>32</v>
      </c>
      <c r="AD3" s="77"/>
      <c r="AE3" s="78" t="s">
        <v>33</v>
      </c>
      <c r="AF3" s="78" t="s">
        <v>34</v>
      </c>
      <c r="AG3" s="78" t="s">
        <v>35</v>
      </c>
      <c r="AH3" s="78" t="s">
        <v>36</v>
      </c>
      <c r="AI3" s="78" t="s">
        <v>37</v>
      </c>
      <c r="AJ3" s="78" t="s">
        <v>38</v>
      </c>
      <c r="AK3" s="78" t="s">
        <v>39</v>
      </c>
      <c r="AL3" s="78" t="s">
        <v>40</v>
      </c>
      <c r="AM3" s="78" t="s">
        <v>41</v>
      </c>
      <c r="AN3" s="78" t="s">
        <v>42</v>
      </c>
      <c r="AO3" s="7" t="s">
        <v>43</v>
      </c>
      <c r="AP3" s="2"/>
      <c r="AQ3" s="2"/>
    </row>
    <row r="4" spans="1:51" x14ac:dyDescent="0.15">
      <c r="A4" s="83" t="s">
        <v>44</v>
      </c>
      <c r="B4" s="19"/>
      <c r="C4" s="19"/>
      <c r="D4" s="19"/>
      <c r="E4" s="65">
        <v>40</v>
      </c>
      <c r="H4" s="2"/>
      <c r="I4" s="2"/>
      <c r="J4" s="2">
        <v>0</v>
      </c>
      <c r="K4" s="13">
        <f>$H$3</f>
        <v>6930.5600826576601</v>
      </c>
      <c r="L4" s="13">
        <f>K4*C16</f>
        <v>1979.3679596070274</v>
      </c>
      <c r="M4" s="26">
        <f>100+10%*K4</f>
        <v>793.05600826576608</v>
      </c>
      <c r="N4" s="13">
        <f>$E$11</f>
        <v>1000000</v>
      </c>
      <c r="O4" s="50">
        <v>0.8</v>
      </c>
      <c r="P4" s="6">
        <f>N4*O4/1000</f>
        <v>800</v>
      </c>
      <c r="Q4" s="39">
        <f>$H$14*N4/1000</f>
        <v>10</v>
      </c>
      <c r="U4" s="38">
        <v>1</v>
      </c>
      <c r="V4" s="36"/>
      <c r="W4" s="36"/>
      <c r="X4" s="36">
        <f>U4-SUM(V4:W4)</f>
        <v>1</v>
      </c>
      <c r="Y4" s="36"/>
      <c r="Z4" s="6"/>
      <c r="AA4" s="6"/>
      <c r="AB4" s="6">
        <f>P4*X4</f>
        <v>800</v>
      </c>
      <c r="AC4" s="6">
        <f>Q4*X4</f>
        <v>10</v>
      </c>
      <c r="AD4" s="36"/>
      <c r="AE4" s="6">
        <f>$X4*K4</f>
        <v>6930.5600826576601</v>
      </c>
      <c r="AF4" s="6">
        <f>-$X4*L4</f>
        <v>-1979.3679596070274</v>
      </c>
      <c r="AG4" s="6">
        <f>-$X4*M4</f>
        <v>-793.05600826576608</v>
      </c>
      <c r="AH4" s="6"/>
      <c r="AI4" s="6">
        <f>SUM(AE4:AH4)</f>
        <v>4158.1361147848665</v>
      </c>
      <c r="AJ4" s="6">
        <f>Z4-AB4</f>
        <v>-800</v>
      </c>
      <c r="AK4" s="6"/>
      <c r="AL4" s="6">
        <f>SUM(AI4:AK4)</f>
        <v>3358.1361147848665</v>
      </c>
      <c r="AM4" s="6">
        <f>AA4-AC4</f>
        <v>-10</v>
      </c>
      <c r="AN4" s="6">
        <f>AL4+AM4</f>
        <v>3348.1361147848665</v>
      </c>
      <c r="AP4" s="41">
        <f>AL31</f>
        <v>13167.528026443528</v>
      </c>
      <c r="AR4" s="128" t="s">
        <v>45</v>
      </c>
      <c r="AS4" s="23"/>
      <c r="AT4" s="32"/>
      <c r="AU4" s="23"/>
      <c r="AV4" s="32"/>
      <c r="AW4" s="32"/>
      <c r="AX4" s="23"/>
    </row>
    <row r="5" spans="1:51" x14ac:dyDescent="0.15">
      <c r="H5" s="28"/>
      <c r="I5" s="14">
        <f>$E$4+J5-1</f>
        <v>40</v>
      </c>
      <c r="J5" s="3">
        <f>J4+1</f>
        <v>1</v>
      </c>
      <c r="K5" s="13">
        <f>$H$3</f>
        <v>6930.5600826576601</v>
      </c>
      <c r="L5" s="13">
        <v>8</v>
      </c>
      <c r="M5" s="26">
        <v>50</v>
      </c>
      <c r="N5" s="13">
        <f t="shared" ref="N5:N24" si="0">$E$11</f>
        <v>1000000</v>
      </c>
      <c r="O5" s="30">
        <v>0.3</v>
      </c>
      <c r="P5" s="39">
        <f t="shared" ref="P5:P24" si="1">N5*O5/1000</f>
        <v>300</v>
      </c>
      <c r="Q5" s="39">
        <f t="shared" ref="Q5:Q24" si="2">$H$14*N5/1000</f>
        <v>10</v>
      </c>
      <c r="R5" s="30"/>
      <c r="S5" s="43">
        <f>VLOOKUP(I5,'Mortality Table Latest'!$A$3:$E$123,5,FALSE)*1000</f>
        <v>2.0049999999999999</v>
      </c>
      <c r="T5" s="49">
        <v>6.1170142103574359E-3</v>
      </c>
      <c r="U5" s="37">
        <f>X4</f>
        <v>1</v>
      </c>
      <c r="V5" s="37">
        <f>U5*S5/1000</f>
        <v>2.0049999999999998E-3</v>
      </c>
      <c r="W5" s="37">
        <f>MIN(T5*U5,U5-V5)</f>
        <v>6.1170142103574359E-3</v>
      </c>
      <c r="X5" s="36">
        <f>U5-SUM(V5:W5)</f>
        <v>0.99187798578964259</v>
      </c>
      <c r="Y5" s="36"/>
      <c r="Z5" s="6">
        <f>AB4</f>
        <v>800</v>
      </c>
      <c r="AA5" s="6">
        <f>AC4</f>
        <v>10</v>
      </c>
      <c r="AB5" s="6">
        <f t="shared" ref="AB5:AB24" si="3">P5*X5</f>
        <v>297.5633957368928</v>
      </c>
      <c r="AC5" s="6">
        <f t="shared" ref="AC5:AC24" si="4">Q5*X5</f>
        <v>9.9187798578964266</v>
      </c>
      <c r="AD5" s="36"/>
      <c r="AE5" s="6">
        <f t="shared" ref="AE5:AE24" si="5">$X5*K5</f>
        <v>6874.2699751805785</v>
      </c>
      <c r="AF5" s="6">
        <f t="shared" ref="AF5:AG20" si="6">-$X5*L5</f>
        <v>-7.9350238863171407</v>
      </c>
      <c r="AG5" s="6">
        <f t="shared" si="6"/>
        <v>-49.593899289482131</v>
      </c>
      <c r="AH5" s="6">
        <f>-V5*N5</f>
        <v>-2004.9999999999998</v>
      </c>
      <c r="AI5" s="6">
        <f>SUM(AE5:AH5)</f>
        <v>4811.7410520047788</v>
      </c>
      <c r="AJ5" s="6">
        <f>-N5*$X4*(O5-O4)/1000</f>
        <v>500</v>
      </c>
      <c r="AK5" s="6">
        <f>$D$6*SUM(Z5:AA5,AE5:AF5)</f>
        <v>227.98714805343957</v>
      </c>
      <c r="AL5" s="6">
        <f t="shared" ref="AL5:AL14" si="7">SUM(AI5:AK5)</f>
        <v>5539.7282000582181</v>
      </c>
      <c r="AM5" s="6">
        <f t="shared" ref="AM5:AM14" si="8">AA5-AC5</f>
        <v>8.1220142103573423E-2</v>
      </c>
      <c r="AN5" s="6">
        <f t="shared" ref="AN5:AN14" si="9">AL5+AM5</f>
        <v>5539.8094202003213</v>
      </c>
      <c r="AO5" t="s">
        <v>46</v>
      </c>
      <c r="AP5" s="28"/>
      <c r="AR5" s="126">
        <v>2023</v>
      </c>
      <c r="AS5" s="23">
        <f>AH5</f>
        <v>-2004.9999999999998</v>
      </c>
      <c r="AT5" s="32">
        <f>INDEX('Term Smoker Mortality Exp'!$A$25:$U$45,MATCH('20 Year Smoker'!AR5,'Term Smoker Mortality Exp'!$A$25:$A$45,0),MATCH('20 Year Smoker'!$E$4,'Term Smoker Mortality Exp'!$A$25:$U$25,0))</f>
        <v>3</v>
      </c>
      <c r="AU5" s="23"/>
      <c r="AV5" s="32"/>
      <c r="AW5" s="32"/>
      <c r="AX5" s="23"/>
    </row>
    <row r="6" spans="1:51" x14ac:dyDescent="0.15">
      <c r="A6" s="15" t="s">
        <v>47</v>
      </c>
      <c r="B6" s="15"/>
      <c r="C6" s="15"/>
      <c r="D6" s="84">
        <v>2.9700000000000001E-2</v>
      </c>
      <c r="E6" s="8"/>
      <c r="F6" s="8"/>
      <c r="G6" s="8"/>
      <c r="H6" s="2"/>
      <c r="I6" s="14">
        <f t="shared" ref="I6:I24" si="10">$E$4+J6-1</f>
        <v>41</v>
      </c>
      <c r="J6" s="3">
        <f t="shared" ref="J6:J24" si="11">J5+1</f>
        <v>2</v>
      </c>
      <c r="K6" s="13">
        <f t="shared" ref="K6:K24" si="12">$H$3</f>
        <v>6930.5600826576601</v>
      </c>
      <c r="L6" s="13">
        <f>K6*$C$17</f>
        <v>212.07513852932436</v>
      </c>
      <c r="M6" s="26">
        <v>50</v>
      </c>
      <c r="N6" s="13">
        <f t="shared" si="0"/>
        <v>1000000</v>
      </c>
      <c r="O6" s="30">
        <v>0.4</v>
      </c>
      <c r="P6" s="39">
        <f t="shared" si="1"/>
        <v>400</v>
      </c>
      <c r="Q6" s="39">
        <f t="shared" si="2"/>
        <v>10</v>
      </c>
      <c r="R6" s="30"/>
      <c r="S6" s="43">
        <f>VLOOKUP(I6,'Mortality Table Latest'!$A$3:$E$123,5,FALSE)*1000</f>
        <v>2.1710000000000003</v>
      </c>
      <c r="T6" s="33">
        <v>6.1682099946429939E-3</v>
      </c>
      <c r="U6" s="37">
        <f>X5</f>
        <v>0.99187798578964259</v>
      </c>
      <c r="V6" s="37">
        <f t="shared" ref="V6:V24" si="13">U6*S6/1000</f>
        <v>2.1533671071493139E-3</v>
      </c>
      <c r="W6" s="37">
        <f t="shared" ref="W6:W24" si="14">MIN(T6*U6,U6-V6)</f>
        <v>6.1181117054140352E-3</v>
      </c>
      <c r="X6" s="36">
        <f>U6-SUM(V6:W6)</f>
        <v>0.98360650697707919</v>
      </c>
      <c r="Y6" s="36"/>
      <c r="Z6" s="6">
        <f t="shared" ref="Z6:AA21" si="15">AB5</f>
        <v>297.5633957368928</v>
      </c>
      <c r="AA6" s="6">
        <f t="shared" si="15"/>
        <v>9.9187798578964266</v>
      </c>
      <c r="AB6" s="6">
        <f t="shared" si="3"/>
        <v>393.4426027908317</v>
      </c>
      <c r="AC6" s="6">
        <f t="shared" si="4"/>
        <v>9.8360650697707914</v>
      </c>
      <c r="AD6" s="36"/>
      <c r="AE6" s="6">
        <f>$X6*K6</f>
        <v>6816.9439942976787</v>
      </c>
      <c r="AF6" s="6">
        <f t="shared" si="6"/>
        <v>-208.59848622550891</v>
      </c>
      <c r="AG6" s="6">
        <f t="shared" si="6"/>
        <v>-49.180325348853962</v>
      </c>
      <c r="AH6" s="6">
        <f t="shared" ref="AH6:AH14" si="16">-V6*N6</f>
        <v>-2153.3671071493141</v>
      </c>
      <c r="AI6" s="6">
        <f t="shared" ref="AI6:AI13" si="17">SUM(AE6:AH6)</f>
        <v>4405.7980755740009</v>
      </c>
      <c r="AJ6" s="6">
        <f>-N6*($X5*O6-$X4*O5)/1000</f>
        <v>-96.751194315857049</v>
      </c>
      <c r="AK6" s="6">
        <f t="shared" ref="AK6:AK14" si="18">$D$6*SUM(Z6:AA6,AE6:AF6)</f>
        <v>205.4000822049087</v>
      </c>
      <c r="AL6" s="6">
        <f t="shared" si="7"/>
        <v>4514.4469634630523</v>
      </c>
      <c r="AM6" s="6">
        <f t="shared" si="8"/>
        <v>8.2714788125635152E-2</v>
      </c>
      <c r="AN6" s="6">
        <f t="shared" si="9"/>
        <v>4514.5296782511778</v>
      </c>
      <c r="AP6" s="41">
        <f>AN31</f>
        <v>13160.402736088588</v>
      </c>
      <c r="AR6" s="126">
        <f>AR5-1</f>
        <v>2022</v>
      </c>
      <c r="AS6" s="23">
        <f>SUM($AH$5:AH6)</f>
        <v>-4158.3671071493136</v>
      </c>
      <c r="AT6" s="32">
        <f>INDEX('Term Smoker Mortality Exp'!$A$25:$U$45,MATCH('20 Year Smoker'!AR6,'Term Smoker Mortality Exp'!$A$25:$A$45,0),MATCH('20 Year Smoker'!$E$4,'Term Smoker Mortality Exp'!$A$25:$U$25,0))</f>
        <v>5</v>
      </c>
      <c r="AU6" s="23"/>
      <c r="AV6" s="32"/>
      <c r="AW6" s="32"/>
      <c r="AX6" s="23"/>
    </row>
    <row r="7" spans="1:51" x14ac:dyDescent="0.15">
      <c r="A7" s="19" t="s">
        <v>48</v>
      </c>
      <c r="B7" s="19"/>
      <c r="C7" s="79"/>
      <c r="D7" s="11">
        <v>5.5E-2</v>
      </c>
      <c r="E7" s="8"/>
      <c r="F7" s="8"/>
      <c r="G7" s="8"/>
      <c r="H7" s="47"/>
      <c r="I7" s="14">
        <f t="shared" si="10"/>
        <v>42</v>
      </c>
      <c r="J7" s="3">
        <f t="shared" si="11"/>
        <v>3</v>
      </c>
      <c r="K7" s="13">
        <f t="shared" si="12"/>
        <v>6930.5600826576601</v>
      </c>
      <c r="L7" s="13">
        <f>K7*$C$17</f>
        <v>212.07513852932436</v>
      </c>
      <c r="M7" s="26">
        <v>50</v>
      </c>
      <c r="N7" s="13">
        <f t="shared" si="0"/>
        <v>1000000</v>
      </c>
      <c r="O7" s="30">
        <v>0.4</v>
      </c>
      <c r="P7" s="39">
        <f t="shared" si="1"/>
        <v>400</v>
      </c>
      <c r="Q7" s="39">
        <f t="shared" si="2"/>
        <v>10</v>
      </c>
      <c r="R7" s="30"/>
      <c r="S7" s="43">
        <f>VLOOKUP(I7,'Mortality Table Latest'!$A$3:$E$123,5,FALSE)*1000</f>
        <v>2.3600000000000003</v>
      </c>
      <c r="T7" s="33">
        <v>6.1844770561514965E-3</v>
      </c>
      <c r="U7" s="37">
        <f t="shared" ref="U7:U24" si="19">X6</f>
        <v>0.98360650697707919</v>
      </c>
      <c r="V7" s="37">
        <f t="shared" si="13"/>
        <v>2.3213113564659071E-3</v>
      </c>
      <c r="W7" s="37">
        <f t="shared" si="14"/>
        <v>6.0830918746810634E-3</v>
      </c>
      <c r="X7" s="36">
        <f t="shared" ref="X7:X24" si="20">U7-SUM(V7:W7)</f>
        <v>0.97520210374593219</v>
      </c>
      <c r="Y7" s="36"/>
      <c r="Z7" s="6">
        <f t="shared" si="15"/>
        <v>393.4426027908317</v>
      </c>
      <c r="AA7" s="6">
        <f t="shared" si="15"/>
        <v>9.8360650697707914</v>
      </c>
      <c r="AB7" s="6">
        <f t="shared" si="3"/>
        <v>390.08084149837288</v>
      </c>
      <c r="AC7" s="6">
        <f t="shared" si="4"/>
        <v>9.7520210374593219</v>
      </c>
      <c r="AD7" s="36"/>
      <c r="AE7" s="6">
        <f>$X7*K7</f>
        <v>6758.6967727453321</v>
      </c>
      <c r="AF7" s="6">
        <f t="shared" si="6"/>
        <v>-206.81612124600713</v>
      </c>
      <c r="AG7" s="6">
        <f t="shared" si="6"/>
        <v>-48.76010518729661</v>
      </c>
      <c r="AH7" s="6">
        <f t="shared" si="16"/>
        <v>-2321.311356465907</v>
      </c>
      <c r="AI7" s="6">
        <f t="shared" si="17"/>
        <v>4181.8091898461216</v>
      </c>
      <c r="AJ7" s="6">
        <f t="shared" ref="AJ7:AJ14" si="21">-N7*($X6*O7-$X5*O6)/1000</f>
        <v>3.3085915250253284</v>
      </c>
      <c r="AK7" s="6">
        <f t="shared" si="18"/>
        <v>206.56823178498985</v>
      </c>
      <c r="AL7" s="6">
        <f t="shared" si="7"/>
        <v>4391.6860131561361</v>
      </c>
      <c r="AM7" s="6">
        <f t="shared" si="8"/>
        <v>8.4044032311469508E-2</v>
      </c>
      <c r="AN7" s="6">
        <f t="shared" si="9"/>
        <v>4391.7700571884479</v>
      </c>
      <c r="AR7" s="126">
        <f t="shared" ref="AR7:AR22" si="22">AR6-1</f>
        <v>2021</v>
      </c>
      <c r="AS7" s="23">
        <f>SUM($AH$5:AH7)</f>
        <v>-6479.6784636152206</v>
      </c>
      <c r="AT7" s="32">
        <f>INDEX('Term Smoker Mortality Exp'!$A$25:$U$45,MATCH('20 Year Smoker'!AR7,'Term Smoker Mortality Exp'!$A$25:$A$45,0),MATCH('20 Year Smoker'!$E$4,'Term Smoker Mortality Exp'!$A$25:$U$25,0))</f>
        <v>7</v>
      </c>
      <c r="AU7" s="23"/>
      <c r="AV7" s="32"/>
      <c r="AW7" s="32"/>
      <c r="AX7" s="23"/>
    </row>
    <row r="8" spans="1:51" x14ac:dyDescent="0.15">
      <c r="A8" s="15" t="s">
        <v>49</v>
      </c>
      <c r="B8" s="15"/>
      <c r="C8" s="16"/>
      <c r="D8" s="2"/>
      <c r="E8" s="2"/>
      <c r="F8" s="2"/>
      <c r="G8" s="2"/>
      <c r="H8" s="2"/>
      <c r="I8" s="14">
        <f t="shared" si="10"/>
        <v>43</v>
      </c>
      <c r="J8" s="3">
        <f t="shared" si="11"/>
        <v>4</v>
      </c>
      <c r="K8" s="13">
        <f t="shared" si="12"/>
        <v>6930.5600826576601</v>
      </c>
      <c r="L8" s="13">
        <f t="shared" ref="L8:L24" si="23">K8*$C$17</f>
        <v>212.07513852932436</v>
      </c>
      <c r="M8" s="26">
        <v>50</v>
      </c>
      <c r="N8" s="13">
        <f t="shared" si="0"/>
        <v>1000000</v>
      </c>
      <c r="O8" s="30">
        <v>0.4</v>
      </c>
      <c r="P8" s="39">
        <f t="shared" si="1"/>
        <v>400</v>
      </c>
      <c r="Q8" s="39">
        <f t="shared" si="2"/>
        <v>10</v>
      </c>
      <c r="R8" s="30"/>
      <c r="S8" s="43">
        <f>VLOOKUP(I8,'Mortality Table Latest'!$A$3:$E$123,5,FALSE)*1000</f>
        <v>2.5630000000000002</v>
      </c>
      <c r="T8" s="33">
        <v>6.2413279786892577E-3</v>
      </c>
      <c r="U8" s="37">
        <f t="shared" si="19"/>
        <v>0.97520210374593219</v>
      </c>
      <c r="V8" s="37">
        <f t="shared" si="13"/>
        <v>2.4994429919008242E-3</v>
      </c>
      <c r="W8" s="37">
        <f t="shared" si="14"/>
        <v>6.0865561749861106E-3</v>
      </c>
      <c r="X8" s="36">
        <f t="shared" si="20"/>
        <v>0.96661610457904523</v>
      </c>
      <c r="Y8" s="36"/>
      <c r="Z8" s="6">
        <f t="shared" si="15"/>
        <v>390.08084149837288</v>
      </c>
      <c r="AA8" s="6">
        <f t="shared" si="15"/>
        <v>9.7520210374593219</v>
      </c>
      <c r="AB8" s="6">
        <f t="shared" si="3"/>
        <v>386.64644183161812</v>
      </c>
      <c r="AC8" s="6">
        <f t="shared" si="4"/>
        <v>9.666161045790453</v>
      </c>
      <c r="AD8" s="36"/>
      <c r="AE8" s="6">
        <f>$X8*K8</f>
        <v>6699.1909896495736</v>
      </c>
      <c r="AF8" s="6">
        <f t="shared" si="6"/>
        <v>-204.99524428327689</v>
      </c>
      <c r="AG8" s="6">
        <f t="shared" si="6"/>
        <v>-48.330805228952265</v>
      </c>
      <c r="AH8" s="6">
        <f t="shared" si="16"/>
        <v>-2499.4429919008244</v>
      </c>
      <c r="AI8" s="6">
        <f t="shared" si="17"/>
        <v>3946.4219482365197</v>
      </c>
      <c r="AJ8" s="6">
        <f t="shared" si="21"/>
        <v>3.3617612924587981</v>
      </c>
      <c r="AK8" s="6">
        <f t="shared" si="18"/>
        <v>204.75264965469324</v>
      </c>
      <c r="AL8" s="6">
        <f t="shared" si="7"/>
        <v>4154.5363591836713</v>
      </c>
      <c r="AM8" s="6">
        <f t="shared" si="8"/>
        <v>8.5859991668868929E-2</v>
      </c>
      <c r="AN8" s="6">
        <f t="shared" si="9"/>
        <v>4154.6222191753404</v>
      </c>
      <c r="AR8" s="126">
        <f t="shared" si="22"/>
        <v>2020</v>
      </c>
      <c r="AS8" s="23">
        <f>SUM($AH$5:AH8)</f>
        <v>-8979.1214555160441</v>
      </c>
      <c r="AT8" s="32">
        <f>INDEX('Term Smoker Mortality Exp'!$A$25:$U$45,MATCH('20 Year Smoker'!AR8,'Term Smoker Mortality Exp'!$A$25:$A$45,0),MATCH('20 Year Smoker'!$E$4,'Term Smoker Mortality Exp'!$A$25:$U$25,0))</f>
        <v>15</v>
      </c>
      <c r="AU8" s="23"/>
      <c r="AV8" s="32"/>
      <c r="AW8" s="32"/>
      <c r="AX8" s="23"/>
    </row>
    <row r="9" spans="1:51" x14ac:dyDescent="0.15">
      <c r="A9" s="15"/>
      <c r="B9" s="16" t="s">
        <v>50</v>
      </c>
      <c r="C9" s="16" t="s">
        <v>51</v>
      </c>
      <c r="D9" s="2"/>
      <c r="E9" s="2"/>
      <c r="F9" s="2"/>
      <c r="G9" s="2"/>
      <c r="H9" s="2"/>
      <c r="I9" s="14">
        <f t="shared" si="10"/>
        <v>44</v>
      </c>
      <c r="J9" s="3">
        <f t="shared" si="11"/>
        <v>5</v>
      </c>
      <c r="K9" s="13">
        <f t="shared" si="12"/>
        <v>6930.5600826576601</v>
      </c>
      <c r="L9" s="13">
        <f t="shared" si="23"/>
        <v>212.07513852932436</v>
      </c>
      <c r="M9" s="26">
        <v>50</v>
      </c>
      <c r="N9" s="13">
        <f>$E$11</f>
        <v>1000000</v>
      </c>
      <c r="O9" s="30">
        <v>0.4</v>
      </c>
      <c r="P9" s="39">
        <f t="shared" si="1"/>
        <v>400</v>
      </c>
      <c r="Q9" s="39">
        <f t="shared" si="2"/>
        <v>10</v>
      </c>
      <c r="R9" s="30"/>
      <c r="S9" s="43">
        <f>VLOOKUP(I9,'Mortality Table Latest'!$A$3:$E$123,5,FALSE)*1000</f>
        <v>2.7850000000000001</v>
      </c>
      <c r="T9" s="33">
        <v>6.1437361948170907E-3</v>
      </c>
      <c r="U9" s="37">
        <f t="shared" si="19"/>
        <v>0.96661610457904523</v>
      </c>
      <c r="V9" s="37">
        <f t="shared" si="13"/>
        <v>2.6920258512526411E-3</v>
      </c>
      <c r="W9" s="37">
        <f t="shared" si="14"/>
        <v>5.9386343481953822E-3</v>
      </c>
      <c r="X9" s="36">
        <f t="shared" si="20"/>
        <v>0.95798544437959721</v>
      </c>
      <c r="Y9" s="36"/>
      <c r="Z9" s="6">
        <f t="shared" si="15"/>
        <v>386.64644183161812</v>
      </c>
      <c r="AA9" s="6">
        <f t="shared" si="15"/>
        <v>9.666161045790453</v>
      </c>
      <c r="AB9" s="6">
        <f t="shared" si="3"/>
        <v>383.19417775183888</v>
      </c>
      <c r="AC9" s="6">
        <f t="shared" si="4"/>
        <v>9.5798544437959716</v>
      </c>
      <c r="AD9" s="36"/>
      <c r="AE9" s="6">
        <f>$X9*K9</f>
        <v>6639.3756805842968</v>
      </c>
      <c r="AF9" s="6">
        <f t="shared" si="6"/>
        <v>-203.16489582587943</v>
      </c>
      <c r="AG9" s="6">
        <f t="shared" si="6"/>
        <v>-47.89927221897986</v>
      </c>
      <c r="AH9" s="6">
        <f t="shared" si="16"/>
        <v>-2692.0258512526411</v>
      </c>
      <c r="AI9" s="6">
        <f t="shared" si="17"/>
        <v>3696.2856612867968</v>
      </c>
      <c r="AJ9" s="6">
        <f t="shared" si="21"/>
        <v>3.4343996667547949</v>
      </c>
      <c r="AK9" s="6">
        <f t="shared" si="18"/>
        <v>202.92594461278404</v>
      </c>
      <c r="AL9" s="6">
        <f t="shared" si="7"/>
        <v>3902.6460055663356</v>
      </c>
      <c r="AM9" s="6">
        <f t="shared" si="8"/>
        <v>8.6306601994481369E-2</v>
      </c>
      <c r="AN9" s="6">
        <f t="shared" si="9"/>
        <v>3902.7323121683303</v>
      </c>
      <c r="AR9" s="126">
        <f t="shared" si="22"/>
        <v>2019</v>
      </c>
      <c r="AS9" s="23">
        <f>SUM($AH$5:AH9)</f>
        <v>-11671.147306768686</v>
      </c>
      <c r="AT9" s="32">
        <f>INDEX('Term Smoker Mortality Exp'!$A$25:$U$45,MATCH('20 Year Smoker'!AR9,'Term Smoker Mortality Exp'!$A$25:$A$45,0),MATCH('20 Year Smoker'!$E$4,'Term Smoker Mortality Exp'!$A$25:$U$25,0))</f>
        <v>4</v>
      </c>
      <c r="AU9" s="23"/>
      <c r="AV9" s="32"/>
      <c r="AW9" s="32"/>
      <c r="AX9" s="23"/>
    </row>
    <row r="10" spans="1:51" x14ac:dyDescent="0.15">
      <c r="A10" s="15"/>
      <c r="B10" s="16">
        <v>1</v>
      </c>
      <c r="C10" s="80">
        <v>7.0000000000000007E-2</v>
      </c>
      <c r="D10" s="2"/>
      <c r="E10" s="53" t="s">
        <v>52</v>
      </c>
      <c r="F10" s="20"/>
      <c r="G10" s="2"/>
      <c r="H10" s="2"/>
      <c r="I10" s="14">
        <f t="shared" si="10"/>
        <v>45</v>
      </c>
      <c r="J10" s="3">
        <f t="shared" si="11"/>
        <v>6</v>
      </c>
      <c r="K10" s="13">
        <f t="shared" si="12"/>
        <v>6930.5600826576601</v>
      </c>
      <c r="L10" s="13">
        <f t="shared" si="23"/>
        <v>212.07513852932436</v>
      </c>
      <c r="M10" s="26">
        <v>50</v>
      </c>
      <c r="N10" s="13">
        <f t="shared" si="0"/>
        <v>1000000</v>
      </c>
      <c r="O10" s="30">
        <v>0.4</v>
      </c>
      <c r="P10" s="39">
        <f t="shared" si="1"/>
        <v>400</v>
      </c>
      <c r="Q10" s="39">
        <f t="shared" si="2"/>
        <v>10</v>
      </c>
      <c r="R10" s="30"/>
      <c r="S10" s="43">
        <f>VLOOKUP(I10,'Mortality Table Latest'!$A$3:$E$123,5,FALSE)*1000</f>
        <v>2.9550000000000001</v>
      </c>
      <c r="T10" s="33">
        <v>6.0950583441932923E-3</v>
      </c>
      <c r="U10" s="37">
        <f t="shared" si="19"/>
        <v>0.95798544437959721</v>
      </c>
      <c r="V10" s="37">
        <f t="shared" si="13"/>
        <v>2.8308469881417101E-3</v>
      </c>
      <c r="W10" s="37">
        <f>MIN(T10*U10,U10-V10)</f>
        <v>5.8389771763815834E-3</v>
      </c>
      <c r="X10" s="36">
        <f t="shared" si="20"/>
        <v>0.94931562021507387</v>
      </c>
      <c r="Y10" s="36"/>
      <c r="Z10" s="6">
        <f t="shared" si="15"/>
        <v>383.19417775183888</v>
      </c>
      <c r="AA10" s="6">
        <f t="shared" si="15"/>
        <v>9.5798544437959716</v>
      </c>
      <c r="AB10" s="6">
        <f t="shared" si="3"/>
        <v>379.72624808602956</v>
      </c>
      <c r="AC10" s="6">
        <f t="shared" si="4"/>
        <v>9.4931562021507396</v>
      </c>
      <c r="AD10" s="36"/>
      <c r="AE10" s="6">
        <f t="shared" si="5"/>
        <v>6579.28894330599</v>
      </c>
      <c r="AF10" s="6">
        <f t="shared" si="6"/>
        <v>-201.32624166516328</v>
      </c>
      <c r="AG10" s="6">
        <f t="shared" si="6"/>
        <v>-47.465781010753695</v>
      </c>
      <c r="AH10" s="6">
        <f t="shared" si="16"/>
        <v>-2830.84698814171</v>
      </c>
      <c r="AI10" s="6">
        <f t="shared" si="17"/>
        <v>3499.649932488363</v>
      </c>
      <c r="AJ10" s="6">
        <f t="shared" si="21"/>
        <v>3.4522640797792215</v>
      </c>
      <c r="AK10" s="6">
        <f t="shared" si="18"/>
        <v>201.09088099494292</v>
      </c>
      <c r="AL10" s="6">
        <f t="shared" si="7"/>
        <v>3704.1930775630849</v>
      </c>
      <c r="AM10" s="6">
        <f t="shared" si="8"/>
        <v>8.6698241645231988E-2</v>
      </c>
      <c r="AN10" s="6">
        <f t="shared" si="9"/>
        <v>3704.27977580473</v>
      </c>
      <c r="AR10" s="126">
        <f t="shared" si="22"/>
        <v>2018</v>
      </c>
      <c r="AS10" s="23">
        <f>SUM($AH$5:AH10)</f>
        <v>-14501.994294910395</v>
      </c>
      <c r="AT10" s="32">
        <f>INDEX('Term Smoker Mortality Exp'!$A$25:$U$45,MATCH('20 Year Smoker'!AR10,'Term Smoker Mortality Exp'!$A$25:$A$45,0),MATCH('20 Year Smoker'!$E$4,'Term Smoker Mortality Exp'!$A$25:$U$25,0))</f>
        <v>9</v>
      </c>
      <c r="AU10" s="23"/>
      <c r="AV10" s="32"/>
      <c r="AW10" s="32"/>
      <c r="AX10" s="23"/>
    </row>
    <row r="11" spans="1:51" ht="36" customHeight="1" x14ac:dyDescent="0.15">
      <c r="A11" s="15"/>
      <c r="B11" s="17" t="s">
        <v>53</v>
      </c>
      <c r="C11" s="80">
        <v>0.06</v>
      </c>
      <c r="D11" s="2"/>
      <c r="E11">
        <f>VLOOKUP(E4,F56:K91,3,FALSE)</f>
        <v>1000000</v>
      </c>
      <c r="F11" s="20"/>
      <c r="G11" s="2"/>
      <c r="H11" s="2"/>
      <c r="I11" s="14">
        <f t="shared" si="10"/>
        <v>46</v>
      </c>
      <c r="J11" s="3">
        <f t="shared" si="11"/>
        <v>7</v>
      </c>
      <c r="K11" s="13">
        <f t="shared" si="12"/>
        <v>6930.5600826576601</v>
      </c>
      <c r="L11" s="13">
        <f t="shared" si="23"/>
        <v>212.07513852932436</v>
      </c>
      <c r="M11" s="26">
        <v>50</v>
      </c>
      <c r="N11" s="13">
        <f t="shared" si="0"/>
        <v>1000000</v>
      </c>
      <c r="O11" s="30">
        <v>0.3</v>
      </c>
      <c r="P11" s="39">
        <f t="shared" si="1"/>
        <v>300</v>
      </c>
      <c r="Q11" s="39">
        <f t="shared" si="2"/>
        <v>10</v>
      </c>
      <c r="R11" s="30"/>
      <c r="S11" s="43">
        <f>VLOOKUP(I11,'Mortality Table Latest'!$A$3:$E$123,5,FALSE)*1000</f>
        <v>3.262</v>
      </c>
      <c r="T11" s="33">
        <v>6.4144141795058167E-3</v>
      </c>
      <c r="U11" s="37">
        <f t="shared" si="19"/>
        <v>0.94931562021507387</v>
      </c>
      <c r="V11" s="37">
        <f t="shared" si="13"/>
        <v>3.0966675531415707E-3</v>
      </c>
      <c r="W11" s="37">
        <f t="shared" si="14"/>
        <v>6.0893035751339282E-3</v>
      </c>
      <c r="X11" s="36">
        <f t="shared" si="20"/>
        <v>0.94012964908679841</v>
      </c>
      <c r="Y11" s="36"/>
      <c r="Z11" s="6">
        <f t="shared" si="15"/>
        <v>379.72624808602956</v>
      </c>
      <c r="AA11" s="6">
        <f t="shared" si="15"/>
        <v>9.4931562021507396</v>
      </c>
      <c r="AB11" s="6">
        <f t="shared" si="3"/>
        <v>282.03889472603953</v>
      </c>
      <c r="AC11" s="6">
        <f t="shared" si="4"/>
        <v>9.4012964908679848</v>
      </c>
      <c r="AD11" s="36"/>
      <c r="AE11" s="6">
        <f t="shared" si="5"/>
        <v>6515.6250184839182</v>
      </c>
      <c r="AF11" s="6">
        <f t="shared" si="6"/>
        <v>-199.37812556560789</v>
      </c>
      <c r="AG11" s="6">
        <f t="shared" si="6"/>
        <v>-47.006482454339924</v>
      </c>
      <c r="AH11" s="6">
        <f t="shared" si="16"/>
        <v>-3096.6675531415708</v>
      </c>
      <c r="AI11" s="6">
        <f t="shared" si="17"/>
        <v>3172.5728573224001</v>
      </c>
      <c r="AJ11" s="6">
        <f t="shared" si="21"/>
        <v>98.399491687316768</v>
      </c>
      <c r="AK11" s="6">
        <f t="shared" si="18"/>
        <v>199.15234902703278</v>
      </c>
      <c r="AL11" s="6">
        <f>SUM(AI11:AK11)</f>
        <v>3470.1246980367496</v>
      </c>
      <c r="AM11" s="6">
        <f t="shared" si="8"/>
        <v>9.185971128275483E-2</v>
      </c>
      <c r="AN11" s="6">
        <f t="shared" si="9"/>
        <v>3470.2165577480323</v>
      </c>
      <c r="AR11" s="126">
        <f t="shared" si="22"/>
        <v>2017</v>
      </c>
      <c r="AS11" s="23">
        <f>SUM($AH$5:AH11)</f>
        <v>-17598.661848051965</v>
      </c>
      <c r="AT11" s="32">
        <f>INDEX('Term Smoker Mortality Exp'!$A$25:$U$45,MATCH('20 Year Smoker'!AR11,'Term Smoker Mortality Exp'!$A$25:$A$45,0),MATCH('20 Year Smoker'!$E$4,'Term Smoker Mortality Exp'!$A$25:$U$25,0))</f>
        <v>6</v>
      </c>
      <c r="AU11" s="23"/>
      <c r="AV11" s="32"/>
      <c r="AW11" s="32"/>
      <c r="AX11" s="23"/>
    </row>
    <row r="12" spans="1:51" x14ac:dyDescent="0.15">
      <c r="A12" s="15"/>
      <c r="B12" s="17" t="s">
        <v>54</v>
      </c>
      <c r="C12" s="80">
        <v>0.05</v>
      </c>
      <c r="D12" s="2"/>
      <c r="E12" s="2"/>
      <c r="F12" s="2"/>
      <c r="G12" s="2"/>
      <c r="H12" s="2"/>
      <c r="I12" s="14">
        <f t="shared" si="10"/>
        <v>47</v>
      </c>
      <c r="J12" s="3">
        <f t="shared" si="11"/>
        <v>8</v>
      </c>
      <c r="K12" s="13">
        <f t="shared" si="12"/>
        <v>6930.5600826576601</v>
      </c>
      <c r="L12" s="13">
        <f t="shared" si="23"/>
        <v>212.07513852932436</v>
      </c>
      <c r="M12" s="26">
        <v>50</v>
      </c>
      <c r="N12" s="13">
        <f t="shared" si="0"/>
        <v>1000000</v>
      </c>
      <c r="O12" s="30">
        <v>0.2</v>
      </c>
      <c r="P12" s="39">
        <f t="shared" si="1"/>
        <v>200</v>
      </c>
      <c r="Q12" s="39">
        <f t="shared" si="2"/>
        <v>10</v>
      </c>
      <c r="R12" s="30"/>
      <c r="S12" s="43">
        <f>VLOOKUP(I12,'Mortality Table Latest'!$A$3:$E$123,5,FALSE)*1000</f>
        <v>3.577</v>
      </c>
      <c r="T12" s="33">
        <v>6.2142490304071402E-3</v>
      </c>
      <c r="U12" s="37">
        <f t="shared" si="19"/>
        <v>0.94012964908679841</v>
      </c>
      <c r="V12" s="37">
        <f t="shared" si="13"/>
        <v>3.3628437547834778E-3</v>
      </c>
      <c r="W12" s="37">
        <f t="shared" si="14"/>
        <v>5.8421997602946417E-3</v>
      </c>
      <c r="X12" s="36">
        <f t="shared" si="20"/>
        <v>0.9309246055717203</v>
      </c>
      <c r="Y12" s="36"/>
      <c r="Z12" s="6">
        <f t="shared" si="15"/>
        <v>282.03889472603953</v>
      </c>
      <c r="AA12" s="6">
        <f t="shared" si="15"/>
        <v>9.4012964908679848</v>
      </c>
      <c r="AB12" s="6">
        <f t="shared" si="3"/>
        <v>186.18492111434406</v>
      </c>
      <c r="AC12" s="6">
        <f t="shared" si="4"/>
        <v>9.3092460557172032</v>
      </c>
      <c r="AD12" s="36"/>
      <c r="AE12" s="6">
        <f t="shared" si="5"/>
        <v>6451.8289113391911</v>
      </c>
      <c r="AF12" s="6">
        <f t="shared" si="6"/>
        <v>-197.42596468697923</v>
      </c>
      <c r="AG12" s="6">
        <f t="shared" si="6"/>
        <v>-46.546230278586016</v>
      </c>
      <c r="AH12" s="6">
        <f t="shared" si="16"/>
        <v>-3362.8437547834778</v>
      </c>
      <c r="AI12" s="6">
        <f t="shared" si="17"/>
        <v>2845.0129615901474</v>
      </c>
      <c r="AJ12" s="6">
        <f t="shared" si="21"/>
        <v>96.768756247162443</v>
      </c>
      <c r="AK12" s="6">
        <f t="shared" si="18"/>
        <v>194.41154119471284</v>
      </c>
      <c r="AL12" s="6">
        <f t="shared" si="7"/>
        <v>3136.1932590320225</v>
      </c>
      <c r="AM12" s="6">
        <f t="shared" si="8"/>
        <v>9.2050435150781595E-2</v>
      </c>
      <c r="AN12" s="6">
        <f>AL12+AM12</f>
        <v>3136.2853094671732</v>
      </c>
      <c r="AR12" s="126">
        <f t="shared" si="22"/>
        <v>2016</v>
      </c>
      <c r="AS12" s="23">
        <f>SUM($AH$5:AH12)</f>
        <v>-20961.505602835441</v>
      </c>
      <c r="AT12" s="32">
        <f>INDEX('Term Smoker Mortality Exp'!$A$25:$U$45,MATCH('20 Year Smoker'!AR12,'Term Smoker Mortality Exp'!$A$25:$A$45,0),MATCH('20 Year Smoker'!$E$4,'Term Smoker Mortality Exp'!$A$25:$U$25,0))</f>
        <v>8</v>
      </c>
      <c r="AU12" s="23"/>
      <c r="AV12" s="32"/>
      <c r="AW12" s="32"/>
      <c r="AX12" s="23"/>
    </row>
    <row r="13" spans="1:51" x14ac:dyDescent="0.15">
      <c r="A13" s="15"/>
      <c r="B13" s="16" t="s">
        <v>55</v>
      </c>
      <c r="C13" s="80">
        <v>0.04</v>
      </c>
      <c r="D13" s="2"/>
      <c r="E13" s="2"/>
      <c r="F13" s="2"/>
      <c r="G13" s="2"/>
      <c r="H13" s="2"/>
      <c r="I13" s="14">
        <f t="shared" si="10"/>
        <v>48</v>
      </c>
      <c r="J13" s="3">
        <f t="shared" si="11"/>
        <v>9</v>
      </c>
      <c r="K13" s="13">
        <f t="shared" si="12"/>
        <v>6930.5600826576601</v>
      </c>
      <c r="L13" s="13">
        <f t="shared" si="23"/>
        <v>212.07513852932436</v>
      </c>
      <c r="M13" s="26">
        <v>50</v>
      </c>
      <c r="N13" s="13">
        <f t="shared" si="0"/>
        <v>1000000</v>
      </c>
      <c r="O13" s="30">
        <v>0.1</v>
      </c>
      <c r="P13" s="39">
        <f t="shared" si="1"/>
        <v>100</v>
      </c>
      <c r="Q13" s="39">
        <f t="shared" si="2"/>
        <v>10</v>
      </c>
      <c r="R13" s="30"/>
      <c r="S13" s="43">
        <f>VLOOKUP(I13,'Mortality Table Latest'!$A$3:$E$123,5,FALSE)*1000</f>
        <v>3.91</v>
      </c>
      <c r="T13" s="33">
        <v>6.2409368032058377E-3</v>
      </c>
      <c r="U13" s="37">
        <f t="shared" si="19"/>
        <v>0.9309246055717203</v>
      </c>
      <c r="V13" s="37">
        <f t="shared" si="13"/>
        <v>3.6399152077854265E-3</v>
      </c>
      <c r="W13" s="37">
        <f t="shared" si="14"/>
        <v>5.8098416319224272E-3</v>
      </c>
      <c r="X13" s="36">
        <f t="shared" si="20"/>
        <v>0.92147484873201246</v>
      </c>
      <c r="Y13" s="36"/>
      <c r="Z13" s="6">
        <f t="shared" si="15"/>
        <v>186.18492111434406</v>
      </c>
      <c r="AA13" s="6">
        <f t="shared" si="15"/>
        <v>9.3092460557172032</v>
      </c>
      <c r="AB13" s="6">
        <f t="shared" si="3"/>
        <v>92.14748487320125</v>
      </c>
      <c r="AC13" s="6">
        <f t="shared" si="4"/>
        <v>9.214748487320124</v>
      </c>
      <c r="AD13" s="36"/>
      <c r="AE13" s="6">
        <f t="shared" si="5"/>
        <v>6386.3368037950913</v>
      </c>
      <c r="AF13" s="6">
        <f t="shared" si="6"/>
        <v>-195.42190619612975</v>
      </c>
      <c r="AG13" s="6">
        <f t="shared" si="6"/>
        <v>-46.073742436600625</v>
      </c>
      <c r="AH13" s="6">
        <f t="shared" si="16"/>
        <v>-3639.9152077854264</v>
      </c>
      <c r="AI13" s="6">
        <f t="shared" si="17"/>
        <v>2504.9259473769348</v>
      </c>
      <c r="AJ13" s="6">
        <f t="shared" si="21"/>
        <v>94.933469260187664</v>
      </c>
      <c r="AK13" s="6">
        <f t="shared" si="18"/>
        <v>189.67634922364002</v>
      </c>
      <c r="AL13" s="6">
        <f t="shared" si="7"/>
        <v>2789.5357658607627</v>
      </c>
      <c r="AM13" s="6">
        <f t="shared" si="8"/>
        <v>9.4497568397079235E-2</v>
      </c>
      <c r="AN13" s="6">
        <f t="shared" si="9"/>
        <v>2789.6302634291596</v>
      </c>
      <c r="AR13" s="126">
        <f t="shared" si="22"/>
        <v>2015</v>
      </c>
      <c r="AS13" s="23">
        <f>SUM($AH$5:AH13)</f>
        <v>-24601.420810620868</v>
      </c>
      <c r="AT13" s="32">
        <f>INDEX('Term Smoker Mortality Exp'!$A$25:$U$45,MATCH('20 Year Smoker'!AR13,'Term Smoker Mortality Exp'!$A$25:$A$45,0),MATCH('20 Year Smoker'!$E$4,'Term Smoker Mortality Exp'!$A$25:$U$25,0))</f>
        <v>5</v>
      </c>
      <c r="AU13" s="23"/>
      <c r="AV13" s="32"/>
      <c r="AW13" s="32"/>
      <c r="AX13" s="23"/>
      <c r="AY13" s="34"/>
    </row>
    <row r="14" spans="1:51" x14ac:dyDescent="0.15">
      <c r="A14" s="19" t="s">
        <v>56</v>
      </c>
      <c r="B14" s="20"/>
      <c r="C14" s="79"/>
      <c r="D14" s="2"/>
      <c r="E14" s="81" t="s">
        <v>57</v>
      </c>
      <c r="F14" s="16"/>
      <c r="G14" s="16"/>
      <c r="H14" s="22">
        <v>0.01</v>
      </c>
      <c r="I14" s="14">
        <f t="shared" si="10"/>
        <v>49</v>
      </c>
      <c r="J14" s="3">
        <f t="shared" si="11"/>
        <v>10</v>
      </c>
      <c r="K14" s="13">
        <f t="shared" si="12"/>
        <v>6930.5600826576601</v>
      </c>
      <c r="L14" s="13">
        <f t="shared" si="23"/>
        <v>212.07513852932436</v>
      </c>
      <c r="M14" s="26">
        <v>50</v>
      </c>
      <c r="N14" s="13">
        <f t="shared" si="0"/>
        <v>1000000</v>
      </c>
      <c r="O14" s="30">
        <v>0.1</v>
      </c>
      <c r="P14" s="39">
        <f t="shared" si="1"/>
        <v>100</v>
      </c>
      <c r="Q14" s="39">
        <f t="shared" si="2"/>
        <v>10</v>
      </c>
      <c r="R14" s="30"/>
      <c r="S14" s="43">
        <f>VLOOKUP(I14,'Mortality Table Latest'!$A$3:$E$123,5,FALSE)*1000</f>
        <v>4.2750000000000004</v>
      </c>
      <c r="T14" s="33">
        <v>6.3516835916622126E-3</v>
      </c>
      <c r="U14" s="37">
        <f t="shared" si="19"/>
        <v>0.92147484873201246</v>
      </c>
      <c r="V14" s="37">
        <f t="shared" si="13"/>
        <v>3.9393049783293535E-3</v>
      </c>
      <c r="W14" s="37">
        <f t="shared" si="14"/>
        <v>5.8529166768205429E-3</v>
      </c>
      <c r="X14" s="36">
        <f t="shared" si="20"/>
        <v>0.91168262707686254</v>
      </c>
      <c r="Y14" s="36"/>
      <c r="Z14" s="6">
        <f t="shared" si="15"/>
        <v>92.14748487320125</v>
      </c>
      <c r="AA14" s="6">
        <f t="shared" si="15"/>
        <v>9.214748487320124</v>
      </c>
      <c r="AB14" s="6">
        <f t="shared" si="3"/>
        <v>91.168262707686253</v>
      </c>
      <c r="AC14" s="6">
        <f t="shared" si="4"/>
        <v>9.116826270768625</v>
      </c>
      <c r="AD14" s="36"/>
      <c r="AE14" s="6">
        <f t="shared" si="5"/>
        <v>6318.4712232713728</v>
      </c>
      <c r="AF14" s="6">
        <f t="shared" si="6"/>
        <v>-193.34521943210399</v>
      </c>
      <c r="AG14" s="6">
        <f t="shared" si="6"/>
        <v>-45.584131353843127</v>
      </c>
      <c r="AH14" s="6">
        <f t="shared" si="16"/>
        <v>-3939.3049783293536</v>
      </c>
      <c r="AI14" s="6">
        <f>SUM(AE14:AH14)</f>
        <v>2140.2368941560717</v>
      </c>
      <c r="AJ14" s="6">
        <f t="shared" si="21"/>
        <v>0.94497568397078346</v>
      </c>
      <c r="AK14" s="6">
        <f t="shared" si="18"/>
        <v>184.92670064483377</v>
      </c>
      <c r="AL14" s="6">
        <f t="shared" si="7"/>
        <v>2326.1085704848765</v>
      </c>
      <c r="AM14" s="6">
        <f t="shared" si="8"/>
        <v>9.7922216551499019E-2</v>
      </c>
      <c r="AN14" s="6">
        <f t="shared" si="9"/>
        <v>2326.206492701428</v>
      </c>
      <c r="AR14" s="126">
        <f t="shared" si="22"/>
        <v>2014</v>
      </c>
      <c r="AS14" s="23">
        <f>SUM($AH$5:AH14)</f>
        <v>-28540.725788950222</v>
      </c>
      <c r="AT14" s="32">
        <f>INDEX('Term Smoker Mortality Exp'!$A$25:$U$45,MATCH('20 Year Smoker'!AR14,'Term Smoker Mortality Exp'!$A$25:$A$45,0),MATCH('20 Year Smoker'!$E$4,'Term Smoker Mortality Exp'!$A$25:$U$25,0))</f>
        <v>12</v>
      </c>
      <c r="AU14" s="23"/>
      <c r="AV14" s="32"/>
      <c r="AW14" s="32"/>
      <c r="AX14" s="23"/>
    </row>
    <row r="15" spans="1:51" x14ac:dyDescent="0.15">
      <c r="A15" s="19"/>
      <c r="B15" s="20" t="s">
        <v>50</v>
      </c>
      <c r="C15" s="20" t="s">
        <v>51</v>
      </c>
      <c r="D15" s="2"/>
      <c r="E15" s="2"/>
      <c r="F15" s="2"/>
      <c r="G15" s="2"/>
      <c r="H15" s="2"/>
      <c r="I15" s="14">
        <f t="shared" si="10"/>
        <v>50</v>
      </c>
      <c r="J15" s="3">
        <f t="shared" si="11"/>
        <v>11</v>
      </c>
      <c r="K15" s="13">
        <f t="shared" si="12"/>
        <v>6930.5600826576601</v>
      </c>
      <c r="L15" s="13">
        <f t="shared" si="23"/>
        <v>212.07513852932436</v>
      </c>
      <c r="M15" s="26">
        <v>50</v>
      </c>
      <c r="N15" s="13">
        <f t="shared" si="0"/>
        <v>1000000</v>
      </c>
      <c r="O15" s="30">
        <v>0.1</v>
      </c>
      <c r="P15" s="39">
        <f t="shared" si="1"/>
        <v>100</v>
      </c>
      <c r="Q15" s="39">
        <f t="shared" si="2"/>
        <v>10</v>
      </c>
      <c r="R15" s="35"/>
      <c r="S15" s="43">
        <f>VLOOKUP(I15,'Mortality Table Latest'!$A$3:$E$123,5,FALSE)*1000</f>
        <v>4.6669999999999998</v>
      </c>
      <c r="T15" s="33">
        <v>6.1751981070953072E-3</v>
      </c>
      <c r="U15" s="37">
        <f t="shared" si="19"/>
        <v>0.91168262707686254</v>
      </c>
      <c r="V15" s="37">
        <f t="shared" si="13"/>
        <v>4.2548228205677181E-3</v>
      </c>
      <c r="W15" s="37">
        <f t="shared" si="14"/>
        <v>5.6298208329967183E-3</v>
      </c>
      <c r="X15" s="36">
        <f t="shared" si="20"/>
        <v>0.90179798342329809</v>
      </c>
      <c r="Y15" s="35"/>
      <c r="Z15" s="6">
        <f t="shared" si="15"/>
        <v>91.168262707686253</v>
      </c>
      <c r="AA15" s="6">
        <f t="shared" si="15"/>
        <v>9.116826270768625</v>
      </c>
      <c r="AB15" s="6">
        <f t="shared" si="3"/>
        <v>90.179798342329804</v>
      </c>
      <c r="AC15" s="6">
        <f t="shared" si="4"/>
        <v>9.0179798342329818</v>
      </c>
      <c r="AD15" s="35"/>
      <c r="AE15" s="6">
        <f t="shared" si="5"/>
        <v>6249.9651065346843</v>
      </c>
      <c r="AF15" s="6">
        <f t="shared" si="6"/>
        <v>-191.24893225996129</v>
      </c>
      <c r="AG15" s="6">
        <f t="shared" si="6"/>
        <v>-45.089899171164902</v>
      </c>
      <c r="AH15" s="6">
        <f t="shared" ref="AH15:AH24" si="24">-V15*N15</f>
        <v>-4254.8228205677178</v>
      </c>
      <c r="AI15" s="6">
        <f t="shared" ref="AI15:AI24" si="25">SUM(AE15:AH15)</f>
        <v>1758.8034545358405</v>
      </c>
      <c r="AJ15" s="6">
        <f t="shared" ref="AJ15:AJ24" si="26">-N15*($X14*O15-$X13*O14)/1000</f>
        <v>0.97922216551499242</v>
      </c>
      <c r="AK15" s="6">
        <f t="shared" ref="AK15:AK24" si="27">$D$6*SUM(Z15:AA15,AE15:AF15)</f>
        <v>182.9223375186194</v>
      </c>
      <c r="AL15" s="6">
        <f t="shared" ref="AL15:AL24" si="28">SUM(AI15:AK15)</f>
        <v>1942.7050142199748</v>
      </c>
      <c r="AM15" s="6">
        <f t="shared" ref="AM15:AM24" si="29">AA15-AC15</f>
        <v>9.8846436535643178E-2</v>
      </c>
      <c r="AN15" s="6">
        <f t="shared" ref="AN15:AN24" si="30">AL15+AM15</f>
        <v>1942.8038606565106</v>
      </c>
      <c r="AR15" s="126">
        <f t="shared" si="22"/>
        <v>2013</v>
      </c>
      <c r="AS15" s="23">
        <f>SUM($AH$5:AH15)</f>
        <v>-32795.548609517937</v>
      </c>
      <c r="AT15" s="32">
        <f>INDEX('Term Smoker Mortality Exp'!$A$25:$U$45,MATCH('20 Year Smoker'!AR15,'Term Smoker Mortality Exp'!$A$25:$A$45,0),MATCH('20 Year Smoker'!$E$4,'Term Smoker Mortality Exp'!$A$25:$U$25,0))</f>
        <v>7</v>
      </c>
      <c r="AU15" s="23"/>
      <c r="AV15" s="32"/>
      <c r="AW15" s="32"/>
      <c r="AX15" s="23"/>
    </row>
    <row r="16" spans="1:51" x14ac:dyDescent="0.15">
      <c r="A16" s="19"/>
      <c r="B16" s="20">
        <v>1</v>
      </c>
      <c r="C16" s="85">
        <f>70%*E21</f>
        <v>0.28559999999999997</v>
      </c>
      <c r="D16" s="2" t="s">
        <v>58</v>
      </c>
      <c r="E16" s="2"/>
      <c r="F16" s="2"/>
      <c r="G16" s="5"/>
      <c r="H16" s="2"/>
      <c r="I16" s="14">
        <f t="shared" si="10"/>
        <v>51</v>
      </c>
      <c r="J16" s="3">
        <f t="shared" si="11"/>
        <v>12</v>
      </c>
      <c r="K16" s="13">
        <f t="shared" si="12"/>
        <v>6930.5600826576601</v>
      </c>
      <c r="L16" s="13">
        <f t="shared" si="23"/>
        <v>212.07513852932436</v>
      </c>
      <c r="M16" s="26">
        <v>50</v>
      </c>
      <c r="N16" s="13">
        <f t="shared" si="0"/>
        <v>1000000</v>
      </c>
      <c r="O16" s="30">
        <v>0.1</v>
      </c>
      <c r="P16" s="39">
        <f t="shared" si="1"/>
        <v>100</v>
      </c>
      <c r="Q16" s="39">
        <f t="shared" si="2"/>
        <v>10</v>
      </c>
      <c r="R16" s="35"/>
      <c r="S16" s="43">
        <f>VLOOKUP(I16,'Mortality Table Latest'!$A$3:$E$123,5,FALSE)*1000</f>
        <v>5.1180000000000003</v>
      </c>
      <c r="T16" s="33">
        <v>6.1946313195230798E-3</v>
      </c>
      <c r="U16" s="37">
        <f t="shared" si="19"/>
        <v>0.90179798342329809</v>
      </c>
      <c r="V16" s="37">
        <f t="shared" si="13"/>
        <v>4.6154020791604397E-3</v>
      </c>
      <c r="W16" s="37">
        <f t="shared" si="14"/>
        <v>5.5863060319967179E-3</v>
      </c>
      <c r="X16" s="36">
        <f t="shared" si="20"/>
        <v>0.89159627531214092</v>
      </c>
      <c r="Y16" s="35"/>
      <c r="Z16" s="6">
        <f>AB15</f>
        <v>90.179798342329804</v>
      </c>
      <c r="AA16" s="6">
        <f t="shared" si="15"/>
        <v>9.0179798342329818</v>
      </c>
      <c r="AB16" s="6">
        <f t="shared" si="3"/>
        <v>89.159627531214085</v>
      </c>
      <c r="AC16" s="6">
        <f t="shared" si="4"/>
        <v>8.9159627531214092</v>
      </c>
      <c r="AD16" s="24"/>
      <c r="AE16" s="6">
        <f t="shared" si="5"/>
        <v>6179.2615555245729</v>
      </c>
      <c r="AF16" s="6">
        <f t="shared" si="6"/>
        <v>-189.08540359905192</v>
      </c>
      <c r="AG16" s="6">
        <f t="shared" si="6"/>
        <v>-44.579813765607042</v>
      </c>
      <c r="AH16" s="6">
        <f t="shared" si="24"/>
        <v>-4615.4020791604398</v>
      </c>
      <c r="AI16" s="6">
        <f t="shared" si="25"/>
        <v>1330.1942589994742</v>
      </c>
      <c r="AJ16" s="6">
        <f t="shared" si="26"/>
        <v>0.98846436535644788</v>
      </c>
      <c r="AK16" s="6">
        <f t="shared" si="27"/>
        <v>180.85440572403186</v>
      </c>
      <c r="AL16" s="6">
        <f t="shared" si="28"/>
        <v>1512.0371290888627</v>
      </c>
      <c r="AM16" s="6">
        <f t="shared" si="29"/>
        <v>0.10201708111157259</v>
      </c>
      <c r="AN16" s="6">
        <f t="shared" si="30"/>
        <v>1512.1391461699743</v>
      </c>
      <c r="AR16" s="126">
        <f t="shared" si="22"/>
        <v>2012</v>
      </c>
      <c r="AS16" s="23">
        <f>SUM($AH$5:AH16)</f>
        <v>-37410.950688678378</v>
      </c>
      <c r="AT16" s="32">
        <f>INDEX('Term Smoker Mortality Exp'!$A$25:$U$45,MATCH('20 Year Smoker'!AR16,'Term Smoker Mortality Exp'!$A$25:$A$45,0),MATCH('20 Year Smoker'!$E$4,'Term Smoker Mortality Exp'!$A$25:$U$25,0))</f>
        <v>8</v>
      </c>
      <c r="AU16" s="23"/>
      <c r="AV16" s="32"/>
      <c r="AW16" s="32"/>
      <c r="AX16" s="23"/>
    </row>
    <row r="17" spans="1:50" x14ac:dyDescent="0.15">
      <c r="A17" s="19"/>
      <c r="B17" s="21" t="s">
        <v>59</v>
      </c>
      <c r="C17" s="85">
        <f>7.5%*E21</f>
        <v>3.0599999999999995E-2</v>
      </c>
      <c r="D17" s="2" t="s">
        <v>60</v>
      </c>
      <c r="E17" s="2"/>
      <c r="F17" s="2"/>
      <c r="G17" s="5"/>
      <c r="H17" s="2"/>
      <c r="I17" s="14">
        <f t="shared" si="10"/>
        <v>52</v>
      </c>
      <c r="J17" s="3">
        <f t="shared" si="11"/>
        <v>13</v>
      </c>
      <c r="K17" s="13">
        <f t="shared" si="12"/>
        <v>6930.5600826576601</v>
      </c>
      <c r="L17" s="13">
        <f t="shared" si="23"/>
        <v>212.07513852932436</v>
      </c>
      <c r="M17" s="26">
        <v>50</v>
      </c>
      <c r="N17" s="13">
        <f t="shared" si="0"/>
        <v>1000000</v>
      </c>
      <c r="O17" s="30">
        <v>0.1</v>
      </c>
      <c r="P17" s="39">
        <f t="shared" si="1"/>
        <v>100</v>
      </c>
      <c r="Q17" s="39">
        <f t="shared" si="2"/>
        <v>10</v>
      </c>
      <c r="R17" s="35"/>
      <c r="S17" s="43">
        <f>VLOOKUP(I17,'Mortality Table Latest'!$A$3:$E$123,5,FALSE)*1000</f>
        <v>9.4039999999999999</v>
      </c>
      <c r="T17" s="33">
        <v>6.0987029306397147E-3</v>
      </c>
      <c r="U17" s="37">
        <f t="shared" si="19"/>
        <v>0.89159627531214092</v>
      </c>
      <c r="V17" s="37">
        <f t="shared" si="13"/>
        <v>8.3845713730353721E-3</v>
      </c>
      <c r="W17" s="37">
        <f t="shared" si="14"/>
        <v>5.4375808171936079E-3</v>
      </c>
      <c r="X17" s="36">
        <f t="shared" si="20"/>
        <v>0.87777412312191194</v>
      </c>
      <c r="Y17" s="35"/>
      <c r="Z17" s="6">
        <f t="shared" si="15"/>
        <v>89.159627531214085</v>
      </c>
      <c r="AA17" s="6">
        <f t="shared" si="15"/>
        <v>8.9159627531214092</v>
      </c>
      <c r="AB17" s="6">
        <f t="shared" si="3"/>
        <v>87.777412312191188</v>
      </c>
      <c r="AC17" s="6">
        <f t="shared" si="4"/>
        <v>8.7777412312191192</v>
      </c>
      <c r="AD17" s="25"/>
      <c r="AE17" s="6">
        <f t="shared" si="5"/>
        <v>6083.4662992985532</v>
      </c>
      <c r="AF17" s="6">
        <f t="shared" si="6"/>
        <v>-186.15406875853569</v>
      </c>
      <c r="AG17" s="6">
        <f t="shared" si="6"/>
        <v>-43.888706156095594</v>
      </c>
      <c r="AH17" s="6">
        <f t="shared" si="24"/>
        <v>-8384.5713730353727</v>
      </c>
      <c r="AI17" s="6">
        <f t="shared" si="25"/>
        <v>-2531.1478486514507</v>
      </c>
      <c r="AJ17" s="6">
        <f t="shared" si="26"/>
        <v>1.0201708111157171</v>
      </c>
      <c r="AK17" s="6">
        <f t="shared" si="27"/>
        <v>178.0630182784833</v>
      </c>
      <c r="AL17" s="6">
        <f t="shared" si="28"/>
        <v>-2352.0646595618514</v>
      </c>
      <c r="AM17" s="6">
        <f t="shared" si="29"/>
        <v>0.13822152190228998</v>
      </c>
      <c r="AN17" s="6">
        <f t="shared" si="30"/>
        <v>-2351.9264380399491</v>
      </c>
      <c r="AR17" s="126">
        <f t="shared" si="22"/>
        <v>2011</v>
      </c>
      <c r="AS17" s="23">
        <f>SUM($AH$5:AH17)</f>
        <v>-45795.522061713753</v>
      </c>
      <c r="AT17" s="32">
        <f>INDEX('Term Smoker Mortality Exp'!$A$25:$U$45,MATCH('20 Year Smoker'!AR17,'Term Smoker Mortality Exp'!$A$25:$A$45,0),MATCH('20 Year Smoker'!$E$4,'Term Smoker Mortality Exp'!$A$25:$U$25,0))</f>
        <v>12</v>
      </c>
      <c r="AU17" s="23"/>
      <c r="AV17" s="32"/>
      <c r="AW17" s="32"/>
      <c r="AX17" s="23"/>
    </row>
    <row r="18" spans="1:50" x14ac:dyDescent="0.15">
      <c r="A18" s="15" t="s">
        <v>61</v>
      </c>
      <c r="B18" s="17"/>
      <c r="C18" s="4"/>
      <c r="D18" s="2"/>
      <c r="E18" s="2"/>
      <c r="F18" s="2"/>
      <c r="G18" s="2"/>
      <c r="H18" s="2"/>
      <c r="I18" s="14">
        <f t="shared" si="10"/>
        <v>53</v>
      </c>
      <c r="J18" s="3">
        <f t="shared" si="11"/>
        <v>14</v>
      </c>
      <c r="K18" s="13">
        <f t="shared" si="12"/>
        <v>6930.5600826576601</v>
      </c>
      <c r="L18" s="13">
        <f t="shared" si="23"/>
        <v>212.07513852932436</v>
      </c>
      <c r="M18" s="26">
        <v>50</v>
      </c>
      <c r="N18" s="13">
        <f t="shared" si="0"/>
        <v>1000000</v>
      </c>
      <c r="O18" s="30">
        <v>0.1</v>
      </c>
      <c r="P18" s="39">
        <f t="shared" si="1"/>
        <v>100</v>
      </c>
      <c r="Q18" s="39">
        <f t="shared" si="2"/>
        <v>10</v>
      </c>
      <c r="R18" s="35"/>
      <c r="S18" s="43">
        <f>VLOOKUP(I18,'Mortality Table Latest'!$A$3:$E$123,5,FALSE)*1000</f>
        <v>10.351000000000001</v>
      </c>
      <c r="T18" s="33">
        <v>6.130532116411228E-3</v>
      </c>
      <c r="U18" s="37">
        <f t="shared" si="19"/>
        <v>0.87777412312191194</v>
      </c>
      <c r="V18" s="37">
        <f t="shared" si="13"/>
        <v>9.0858399484349105E-3</v>
      </c>
      <c r="W18" s="37">
        <f t="shared" si="14"/>
        <v>5.3812224527535844E-3</v>
      </c>
      <c r="X18" s="36">
        <f t="shared" si="20"/>
        <v>0.8633070607207235</v>
      </c>
      <c r="Y18" s="35"/>
      <c r="Z18" s="6">
        <f t="shared" si="15"/>
        <v>87.777412312191188</v>
      </c>
      <c r="AA18" s="6">
        <f t="shared" si="15"/>
        <v>8.7777412312191192</v>
      </c>
      <c r="AB18" s="6">
        <f t="shared" si="3"/>
        <v>86.330706072072346</v>
      </c>
      <c r="AC18" s="6">
        <f t="shared" si="4"/>
        <v>8.6330706072072356</v>
      </c>
      <c r="AD18" s="24"/>
      <c r="AE18" s="6">
        <f t="shared" si="5"/>
        <v>5983.2014541075587</v>
      </c>
      <c r="AF18" s="6">
        <f t="shared" si="6"/>
        <v>-183.08596449569129</v>
      </c>
      <c r="AG18" s="6">
        <f t="shared" si="6"/>
        <v>-43.165353036036173</v>
      </c>
      <c r="AH18" s="6">
        <f t="shared" si="24"/>
        <v>-9085.8399484349102</v>
      </c>
      <c r="AI18" s="6">
        <f t="shared" si="25"/>
        <v>-3328.8898118590787</v>
      </c>
      <c r="AJ18" s="6">
        <f t="shared" si="26"/>
        <v>1.3822152190228891</v>
      </c>
      <c r="AK18" s="6">
        <f t="shared" si="27"/>
        <v>175.13111810171176</v>
      </c>
      <c r="AL18" s="6">
        <f t="shared" si="28"/>
        <v>-3152.3764785383441</v>
      </c>
      <c r="AM18" s="6">
        <f t="shared" si="29"/>
        <v>0.14467062401188358</v>
      </c>
      <c r="AN18" s="6">
        <f t="shared" si="30"/>
        <v>-3152.2318079143324</v>
      </c>
      <c r="AR18" s="126">
        <f t="shared" si="22"/>
        <v>2010</v>
      </c>
      <c r="AS18" s="23">
        <f>SUM($AH$5:AH18)</f>
        <v>-54881.362010148659</v>
      </c>
      <c r="AT18" s="32">
        <f>INDEX('Term Smoker Mortality Exp'!$A$25:$U$45,MATCH('20 Year Smoker'!AR18,'Term Smoker Mortality Exp'!$A$25:$A$45,0),MATCH('20 Year Smoker'!$E$4,'Term Smoker Mortality Exp'!$A$25:$U$25,0))</f>
        <v>7</v>
      </c>
      <c r="AU18" s="23"/>
      <c r="AV18" s="32"/>
      <c r="AW18" s="32"/>
      <c r="AX18" s="23"/>
    </row>
    <row r="19" spans="1:50" x14ac:dyDescent="0.15">
      <c r="A19" s="15"/>
      <c r="B19" s="16" t="s">
        <v>50</v>
      </c>
      <c r="C19" s="16" t="s">
        <v>51</v>
      </c>
      <c r="D19" s="2"/>
      <c r="E19" s="2"/>
      <c r="F19" s="2"/>
      <c r="G19" s="5"/>
      <c r="H19" s="5"/>
      <c r="I19" s="14">
        <f t="shared" si="10"/>
        <v>54</v>
      </c>
      <c r="J19" s="3">
        <f t="shared" si="11"/>
        <v>15</v>
      </c>
      <c r="K19" s="13">
        <f t="shared" si="12"/>
        <v>6930.5600826576601</v>
      </c>
      <c r="L19" s="13">
        <f t="shared" si="23"/>
        <v>212.07513852932436</v>
      </c>
      <c r="M19" s="26">
        <v>50</v>
      </c>
      <c r="N19" s="13">
        <f t="shared" si="0"/>
        <v>1000000</v>
      </c>
      <c r="O19" s="30">
        <v>0.1</v>
      </c>
      <c r="P19" s="39">
        <f t="shared" si="1"/>
        <v>100</v>
      </c>
      <c r="Q19" s="39">
        <f t="shared" si="2"/>
        <v>10</v>
      </c>
      <c r="R19" s="35"/>
      <c r="S19" s="43">
        <f>VLOOKUP(I19,'Mortality Table Latest'!$A$3:$E$123,5,FALSE)*1000</f>
        <v>11.429</v>
      </c>
      <c r="T19" s="33">
        <v>6.2156755918412795E-3</v>
      </c>
      <c r="U19" s="37">
        <f t="shared" si="19"/>
        <v>0.8633070607207235</v>
      </c>
      <c r="V19" s="37">
        <f t="shared" si="13"/>
        <v>9.86673639697715E-3</v>
      </c>
      <c r="W19" s="37">
        <f t="shared" si="14"/>
        <v>5.3660366255860381E-3</v>
      </c>
      <c r="X19" s="36">
        <f t="shared" si="20"/>
        <v>0.84807428769816029</v>
      </c>
      <c r="Y19" s="35"/>
      <c r="Z19" s="6">
        <f t="shared" si="15"/>
        <v>86.330706072072346</v>
      </c>
      <c r="AA19" s="6">
        <f t="shared" si="15"/>
        <v>8.6330706072072356</v>
      </c>
      <c r="AB19" s="6">
        <f t="shared" si="3"/>
        <v>84.807428769816028</v>
      </c>
      <c r="AC19" s="6">
        <f t="shared" si="4"/>
        <v>8.4807428769816031</v>
      </c>
      <c r="AE19" s="6">
        <f t="shared" si="5"/>
        <v>5877.6298054491981</v>
      </c>
      <c r="AF19" s="6">
        <f t="shared" si="6"/>
        <v>-179.85547204674543</v>
      </c>
      <c r="AG19" s="6">
        <f t="shared" si="6"/>
        <v>-42.403714384908014</v>
      </c>
      <c r="AH19" s="6">
        <f t="shared" si="24"/>
        <v>-9866.7363969771504</v>
      </c>
      <c r="AI19" s="6">
        <f t="shared" si="25"/>
        <v>-4211.365777959606</v>
      </c>
      <c r="AJ19" s="6">
        <f t="shared" si="26"/>
        <v>1.4467062401188475</v>
      </c>
      <c r="AK19" s="6">
        <f t="shared" si="27"/>
        <v>172.04432186942745</v>
      </c>
      <c r="AL19" s="6">
        <f t="shared" si="28"/>
        <v>-4037.8747498500597</v>
      </c>
      <c r="AM19" s="6">
        <f t="shared" si="29"/>
        <v>0.15232773022563251</v>
      </c>
      <c r="AN19" s="6">
        <f t="shared" si="30"/>
        <v>-4037.7224221198339</v>
      </c>
      <c r="AR19" s="126">
        <f t="shared" si="22"/>
        <v>2009</v>
      </c>
      <c r="AS19" s="23">
        <f>SUM($AH$5:AH19)</f>
        <v>-64748.098407125814</v>
      </c>
      <c r="AT19" s="32">
        <f>INDEX('Term Smoker Mortality Exp'!$A$25:$U$45,MATCH('20 Year Smoker'!AR19,'Term Smoker Mortality Exp'!$A$25:$A$45,0),MATCH('20 Year Smoker'!$E$4,'Term Smoker Mortality Exp'!$A$25:$U$25,0))</f>
        <v>3</v>
      </c>
      <c r="AU19" s="23"/>
      <c r="AV19" s="32"/>
      <c r="AW19" s="32"/>
      <c r="AX19" s="23"/>
    </row>
    <row r="20" spans="1:50" x14ac:dyDescent="0.15">
      <c r="A20" s="15"/>
      <c r="B20" s="16">
        <v>1</v>
      </c>
      <c r="C20" s="12">
        <v>100</v>
      </c>
      <c r="D20" s="2"/>
      <c r="E20" s="2"/>
      <c r="F20" s="2"/>
      <c r="G20" s="2"/>
      <c r="H20" s="2"/>
      <c r="I20" s="14">
        <f t="shared" si="10"/>
        <v>55</v>
      </c>
      <c r="J20" s="3">
        <f t="shared" si="11"/>
        <v>16</v>
      </c>
      <c r="K20" s="13">
        <f t="shared" si="12"/>
        <v>6930.5600826576601</v>
      </c>
      <c r="L20" s="13">
        <f t="shared" si="23"/>
        <v>212.07513852932436</v>
      </c>
      <c r="M20" s="26">
        <v>50</v>
      </c>
      <c r="N20" s="13">
        <f t="shared" si="0"/>
        <v>1000000</v>
      </c>
      <c r="O20" s="30">
        <v>0.1</v>
      </c>
      <c r="P20" s="39">
        <f t="shared" si="1"/>
        <v>100</v>
      </c>
      <c r="Q20" s="39">
        <f t="shared" si="2"/>
        <v>10</v>
      </c>
      <c r="R20" s="35"/>
      <c r="S20" s="43">
        <f>VLOOKUP(I20,'Mortality Table Latest'!$A$3:$E$123,5,FALSE)*1000</f>
        <v>12.65</v>
      </c>
      <c r="T20" s="33">
        <v>6.0689333954354911E-3</v>
      </c>
      <c r="U20" s="37">
        <f t="shared" si="19"/>
        <v>0.84807428769816029</v>
      </c>
      <c r="V20" s="37">
        <f t="shared" si="13"/>
        <v>1.0728139739381727E-2</v>
      </c>
      <c r="W20" s="37">
        <f t="shared" si="14"/>
        <v>5.1469063664215317E-3</v>
      </c>
      <c r="X20" s="36">
        <f t="shared" si="20"/>
        <v>0.83219924159235703</v>
      </c>
      <c r="Y20" s="35"/>
      <c r="Z20" s="6">
        <f t="shared" si="15"/>
        <v>84.807428769816028</v>
      </c>
      <c r="AA20" s="6">
        <f t="shared" si="15"/>
        <v>8.4807428769816031</v>
      </c>
      <c r="AB20" s="6">
        <f t="shared" si="3"/>
        <v>83.219924159235703</v>
      </c>
      <c r="AC20" s="6">
        <f t="shared" si="4"/>
        <v>8.321992415923571</v>
      </c>
      <c r="AD20" s="24"/>
      <c r="AE20" s="6">
        <f t="shared" si="5"/>
        <v>5767.6068445979681</v>
      </c>
      <c r="AF20" s="6">
        <f t="shared" si="6"/>
        <v>-176.48876944469779</v>
      </c>
      <c r="AG20" s="6">
        <f t="shared" si="6"/>
        <v>-41.609962079617851</v>
      </c>
      <c r="AH20" s="6">
        <f t="shared" si="24"/>
        <v>-10728.139739381728</v>
      </c>
      <c r="AI20" s="6">
        <f t="shared" si="25"/>
        <v>-5178.6316263080753</v>
      </c>
      <c r="AJ20" s="6">
        <f t="shared" si="26"/>
        <v>1.5232773022563206</v>
      </c>
      <c r="AK20" s="6">
        <f t="shared" si="27"/>
        <v>168.82686552996202</v>
      </c>
      <c r="AL20" s="6">
        <f t="shared" si="28"/>
        <v>-5008.2814834758574</v>
      </c>
      <c r="AM20" s="6">
        <f t="shared" si="29"/>
        <v>0.15875046105803214</v>
      </c>
      <c r="AN20" s="6">
        <f t="shared" si="30"/>
        <v>-5008.1227330147995</v>
      </c>
      <c r="AR20" s="126">
        <f t="shared" si="22"/>
        <v>2008</v>
      </c>
      <c r="AS20" s="23">
        <f>SUM($AH$5:AH20)</f>
        <v>-75476.238146507545</v>
      </c>
      <c r="AT20" s="32">
        <f>INDEX('Term Smoker Mortality Exp'!$A$25:$U$45,MATCH('20 Year Smoker'!AR20,'Term Smoker Mortality Exp'!$A$25:$A$45,0),MATCH('20 Year Smoker'!$E$4,'Term Smoker Mortality Exp'!$A$25:$U$25,0))</f>
        <v>12</v>
      </c>
      <c r="AU20" s="23"/>
      <c r="AV20" s="32"/>
      <c r="AW20" s="32"/>
      <c r="AX20" s="23"/>
    </row>
    <row r="21" spans="1:50" ht="28" x14ac:dyDescent="0.15">
      <c r="A21" s="15"/>
      <c r="B21" s="17" t="s">
        <v>59</v>
      </c>
      <c r="C21" s="12">
        <v>50</v>
      </c>
      <c r="D21" s="2"/>
      <c r="E21" s="47">
        <v>0.40799999999999997</v>
      </c>
      <c r="F21" s="18" t="s">
        <v>62</v>
      </c>
      <c r="G21" s="5"/>
      <c r="H21" s="5"/>
      <c r="I21" s="14">
        <f t="shared" si="10"/>
        <v>56</v>
      </c>
      <c r="J21" s="3">
        <f t="shared" si="11"/>
        <v>17</v>
      </c>
      <c r="K21" s="13">
        <f t="shared" si="12"/>
        <v>6930.5600826576601</v>
      </c>
      <c r="L21" s="13">
        <f t="shared" si="23"/>
        <v>212.07513852932436</v>
      </c>
      <c r="M21" s="26">
        <v>50</v>
      </c>
      <c r="N21" s="13">
        <f t="shared" si="0"/>
        <v>1000000</v>
      </c>
      <c r="O21" s="30">
        <v>0.1</v>
      </c>
      <c r="P21" s="39">
        <f t="shared" si="1"/>
        <v>100</v>
      </c>
      <c r="Q21" s="39">
        <f t="shared" si="2"/>
        <v>10</v>
      </c>
      <c r="R21" s="35"/>
      <c r="S21" s="43">
        <f>VLOOKUP(I21,'Mortality Table Latest'!$A$3:$E$123,5,FALSE)*1000</f>
        <v>16.003</v>
      </c>
      <c r="T21" s="33">
        <v>6.0125762594170394E-3</v>
      </c>
      <c r="U21" s="37">
        <f t="shared" si="19"/>
        <v>0.83219924159235703</v>
      </c>
      <c r="V21" s="37">
        <f t="shared" si="13"/>
        <v>1.331768446320249E-2</v>
      </c>
      <c r="W21" s="37">
        <f t="shared" si="14"/>
        <v>5.0036614031030713E-3</v>
      </c>
      <c r="X21" s="36">
        <f t="shared" si="20"/>
        <v>0.81387789572605151</v>
      </c>
      <c r="Y21" s="35"/>
      <c r="Z21" s="6">
        <f t="shared" si="15"/>
        <v>83.219924159235703</v>
      </c>
      <c r="AA21" s="6">
        <f t="shared" si="15"/>
        <v>8.321992415923571</v>
      </c>
      <c r="AB21" s="6">
        <f t="shared" si="3"/>
        <v>81.387789572605158</v>
      </c>
      <c r="AC21" s="6">
        <f t="shared" si="4"/>
        <v>8.1387789572605147</v>
      </c>
      <c r="AD21" s="35"/>
      <c r="AE21" s="6">
        <f>$X21*K21</f>
        <v>5640.6296562763864</v>
      </c>
      <c r="AF21" s="6">
        <f t="shared" ref="AF21:AG24" si="31">-$X21*L21</f>
        <v>-172.60326748205739</v>
      </c>
      <c r="AG21" s="6">
        <f t="shared" si="31"/>
        <v>-40.693894786302579</v>
      </c>
      <c r="AH21" s="6">
        <f t="shared" si="24"/>
        <v>-13317.684463202489</v>
      </c>
      <c r="AI21" s="6">
        <f t="shared" si="25"/>
        <v>-7890.351969194463</v>
      </c>
      <c r="AJ21" s="6">
        <f t="shared" si="26"/>
        <v>1.5875046105803259</v>
      </c>
      <c r="AK21" s="6">
        <f t="shared" si="27"/>
        <v>165.1191786694738</v>
      </c>
      <c r="AL21" s="6">
        <f t="shared" si="28"/>
        <v>-7723.6452859144092</v>
      </c>
      <c r="AM21" s="6">
        <f t="shared" si="29"/>
        <v>0.18321345866305627</v>
      </c>
      <c r="AN21" s="6">
        <f t="shared" si="30"/>
        <v>-7723.4620724557462</v>
      </c>
      <c r="AR21" s="126">
        <f t="shared" si="22"/>
        <v>2007</v>
      </c>
      <c r="AS21" s="23">
        <f>SUM($AH$5:AH21)</f>
        <v>-88793.922609710033</v>
      </c>
      <c r="AT21" s="32">
        <f>INDEX('Term Smoker Mortality Exp'!$A$25:$U$45,MATCH('20 Year Smoker'!AR21,'Term Smoker Mortality Exp'!$A$25:$A$45,0),MATCH('20 Year Smoker'!$E$4,'Term Smoker Mortality Exp'!$A$25:$U$25,0))</f>
        <v>11</v>
      </c>
      <c r="AU21" s="23"/>
      <c r="AV21" s="32"/>
      <c r="AW21" s="32"/>
      <c r="AX21" s="23"/>
    </row>
    <row r="22" spans="1:50" x14ac:dyDescent="0.15">
      <c r="A22" t="s">
        <v>63</v>
      </c>
      <c r="B22" s="48">
        <v>2.52E-2</v>
      </c>
      <c r="C22" s="10"/>
      <c r="F22" s="3"/>
      <c r="G22" s="10"/>
      <c r="I22" s="14">
        <f t="shared" si="10"/>
        <v>57</v>
      </c>
      <c r="J22" s="3">
        <f t="shared" si="11"/>
        <v>18</v>
      </c>
      <c r="K22" s="13">
        <f t="shared" si="12"/>
        <v>6930.5600826576601</v>
      </c>
      <c r="L22" s="13">
        <f t="shared" si="23"/>
        <v>212.07513852932436</v>
      </c>
      <c r="M22" s="26">
        <v>50</v>
      </c>
      <c r="N22" s="13">
        <f t="shared" si="0"/>
        <v>1000000</v>
      </c>
      <c r="O22" s="30">
        <v>0.1</v>
      </c>
      <c r="P22" s="39">
        <f t="shared" si="1"/>
        <v>100</v>
      </c>
      <c r="Q22" s="39">
        <f t="shared" si="2"/>
        <v>10</v>
      </c>
      <c r="R22" s="35"/>
      <c r="S22" s="43">
        <f>VLOOKUP(I22,'Mortality Table Latest'!$A$3:$E$123,5,FALSE)*1000</f>
        <v>17.57</v>
      </c>
      <c r="T22" s="33">
        <v>5.9179638399499933E-3</v>
      </c>
      <c r="U22" s="37">
        <f t="shared" si="19"/>
        <v>0.81387789572605151</v>
      </c>
      <c r="V22" s="37">
        <f t="shared" si="13"/>
        <v>1.4299834627906724E-2</v>
      </c>
      <c r="W22" s="37">
        <f t="shared" si="14"/>
        <v>4.8164999570413638E-3</v>
      </c>
      <c r="X22" s="36">
        <f t="shared" si="20"/>
        <v>0.79476156114110341</v>
      </c>
      <c r="Y22" s="35"/>
      <c r="Z22" s="6">
        <f t="shared" ref="Z22:AA24" si="32">AB21</f>
        <v>81.387789572605158</v>
      </c>
      <c r="AA22" s="6">
        <f t="shared" si="32"/>
        <v>8.1387789572605147</v>
      </c>
      <c r="AB22" s="6">
        <f t="shared" si="3"/>
        <v>79.476156114110339</v>
      </c>
      <c r="AC22" s="6">
        <f t="shared" si="4"/>
        <v>7.9476156114110346</v>
      </c>
      <c r="AE22" s="6">
        <f t="shared" si="5"/>
        <v>5508.1427508752167</v>
      </c>
      <c r="AF22" s="6">
        <f t="shared" si="31"/>
        <v>-168.54916817678159</v>
      </c>
      <c r="AG22" s="6">
        <f t="shared" si="31"/>
        <v>-39.738078057055169</v>
      </c>
      <c r="AH22" s="6">
        <f t="shared" si="24"/>
        <v>-14299.834627906725</v>
      </c>
      <c r="AI22" s="6">
        <f t="shared" si="25"/>
        <v>-8999.9791232653442</v>
      </c>
      <c r="AJ22" s="6">
        <f t="shared" si="26"/>
        <v>1.832134586630549</v>
      </c>
      <c r="AK22" s="6">
        <f t="shared" si="27"/>
        <v>161.24486849148053</v>
      </c>
      <c r="AL22" s="6">
        <f t="shared" si="28"/>
        <v>-8836.9021201872347</v>
      </c>
      <c r="AM22" s="6">
        <f t="shared" si="29"/>
        <v>0.19116334584948014</v>
      </c>
      <c r="AN22" s="6">
        <f t="shared" si="30"/>
        <v>-8836.7109568413853</v>
      </c>
      <c r="AR22" s="126">
        <f t="shared" si="22"/>
        <v>2006</v>
      </c>
      <c r="AS22" s="23">
        <f>SUM($AH$5:AH22)</f>
        <v>-103093.75723761675</v>
      </c>
      <c r="AT22" s="32">
        <f>INDEX('Term Smoker Mortality Exp'!$A$25:$U$45,MATCH('20 Year Smoker'!AR22,'Term Smoker Mortality Exp'!$A$25:$A$45,0),MATCH('20 Year Smoker'!$E$4,'Term Smoker Mortality Exp'!$A$25:$U$25,0))</f>
        <v>9</v>
      </c>
      <c r="AU22" s="23"/>
      <c r="AV22" s="32"/>
      <c r="AW22" s="32"/>
      <c r="AX22" s="23"/>
    </row>
    <row r="23" spans="1:50" x14ac:dyDescent="0.15">
      <c r="B23" s="3"/>
      <c r="C23" s="10"/>
      <c r="F23" s="3"/>
      <c r="G23" s="10"/>
      <c r="I23" s="14">
        <f t="shared" si="10"/>
        <v>58</v>
      </c>
      <c r="J23" s="3">
        <f t="shared" si="11"/>
        <v>19</v>
      </c>
      <c r="K23" s="13">
        <f t="shared" si="12"/>
        <v>6930.5600826576601</v>
      </c>
      <c r="L23" s="13">
        <f t="shared" si="23"/>
        <v>212.07513852932436</v>
      </c>
      <c r="M23" s="26">
        <v>50</v>
      </c>
      <c r="N23" s="13">
        <f t="shared" si="0"/>
        <v>1000000</v>
      </c>
      <c r="O23" s="30">
        <v>0.1</v>
      </c>
      <c r="P23" s="39">
        <f t="shared" si="1"/>
        <v>100</v>
      </c>
      <c r="Q23" s="39">
        <f t="shared" si="2"/>
        <v>10</v>
      </c>
      <c r="R23" s="35"/>
      <c r="S23" s="43">
        <f>VLOOKUP(I23,'Mortality Table Latest'!$A$3:$E$123,5,FALSE)*1000</f>
        <v>19.293999999999997</v>
      </c>
      <c r="T23" s="33">
        <v>5.8785501874757578E-3</v>
      </c>
      <c r="U23" s="37">
        <f t="shared" si="19"/>
        <v>0.79476156114110341</v>
      </c>
      <c r="V23" s="37">
        <f t="shared" si="13"/>
        <v>1.5334129560656447E-2</v>
      </c>
      <c r="W23" s="37">
        <f t="shared" si="14"/>
        <v>4.672045724244559E-3</v>
      </c>
      <c r="X23" s="36">
        <f t="shared" si="20"/>
        <v>0.77475538585620241</v>
      </c>
      <c r="Y23" s="35"/>
      <c r="Z23" s="6">
        <f t="shared" si="32"/>
        <v>79.476156114110339</v>
      </c>
      <c r="AA23" s="6">
        <f t="shared" si="32"/>
        <v>7.9476156114110346</v>
      </c>
      <c r="AB23" s="6">
        <f t="shared" si="3"/>
        <v>77.475538585620242</v>
      </c>
      <c r="AC23" s="6">
        <f t="shared" si="4"/>
        <v>7.7475538585620241</v>
      </c>
      <c r="AE23" s="6">
        <f t="shared" si="5"/>
        <v>5369.4887510390299</v>
      </c>
      <c r="AF23" s="6">
        <f t="shared" si="31"/>
        <v>-164.30635578179428</v>
      </c>
      <c r="AG23" s="6">
        <f t="shared" si="31"/>
        <v>-38.737769292810121</v>
      </c>
      <c r="AH23" s="6">
        <f t="shared" si="24"/>
        <v>-15334.129560656447</v>
      </c>
      <c r="AI23" s="6">
        <f t="shared" si="25"/>
        <v>-10167.684934692021</v>
      </c>
      <c r="AJ23" s="6">
        <f t="shared" si="26"/>
        <v>1.9116334584948074</v>
      </c>
      <c r="AK23" s="6">
        <f t="shared" si="27"/>
        <v>157.19040315938787</v>
      </c>
      <c r="AL23" s="6">
        <f t="shared" si="28"/>
        <v>-10008.582898074139</v>
      </c>
      <c r="AM23" s="6">
        <f t="shared" si="29"/>
        <v>0.20006175284901051</v>
      </c>
      <c r="AN23" s="6">
        <f t="shared" si="30"/>
        <v>-10008.382836321291</v>
      </c>
      <c r="AR23" s="126">
        <f>AR22-1</f>
        <v>2005</v>
      </c>
      <c r="AS23" s="23">
        <f>SUM($AH$5:AH23)</f>
        <v>-118427.8867982732</v>
      </c>
      <c r="AT23" s="32">
        <f>INDEX('Term Smoker Mortality Exp'!$A$25:$U$45,MATCH('20 Year Smoker'!AR23,'Term Smoker Mortality Exp'!$A$25:$A$45,0),MATCH('20 Year Smoker'!$E$4,'Term Smoker Mortality Exp'!$A$25:$U$25,0))</f>
        <v>10</v>
      </c>
      <c r="AU23" s="23"/>
      <c r="AV23" s="32"/>
      <c r="AW23" s="32"/>
      <c r="AX23" s="23"/>
    </row>
    <row r="24" spans="1:50" x14ac:dyDescent="0.15">
      <c r="B24" s="3"/>
      <c r="C24" s="10"/>
      <c r="F24" s="3"/>
      <c r="G24" s="10"/>
      <c r="I24" s="14">
        <f t="shared" si="10"/>
        <v>59</v>
      </c>
      <c r="J24" s="3">
        <f t="shared" si="11"/>
        <v>20</v>
      </c>
      <c r="K24" s="13">
        <f t="shared" si="12"/>
        <v>6930.5600826576601</v>
      </c>
      <c r="L24" s="13">
        <f t="shared" si="23"/>
        <v>212.07513852932436</v>
      </c>
      <c r="M24" s="26">
        <v>50</v>
      </c>
      <c r="N24" s="13">
        <f t="shared" si="0"/>
        <v>1000000</v>
      </c>
      <c r="O24" s="30">
        <v>0.1</v>
      </c>
      <c r="P24" s="39">
        <f t="shared" si="1"/>
        <v>100</v>
      </c>
      <c r="Q24" s="39">
        <f t="shared" si="2"/>
        <v>10</v>
      </c>
      <c r="R24" s="35"/>
      <c r="S24" s="43">
        <f>VLOOKUP(I24,'Mortality Table Latest'!$A$3:$E$123,5,FALSE)*1000</f>
        <v>21.358999999999998</v>
      </c>
      <c r="T24" s="33">
        <v>0.58662149964898991</v>
      </c>
      <c r="U24" s="37">
        <f t="shared" si="19"/>
        <v>0.77475538585620241</v>
      </c>
      <c r="V24" s="37">
        <f t="shared" si="13"/>
        <v>1.6548000286502624E-2</v>
      </c>
      <c r="W24" s="37">
        <f t="shared" si="14"/>
        <v>0.45448816631209726</v>
      </c>
      <c r="X24" s="36">
        <f t="shared" si="20"/>
        <v>0.30371921925760254</v>
      </c>
      <c r="Y24" s="35"/>
      <c r="Z24" s="6">
        <f t="shared" si="32"/>
        <v>77.475538585620242</v>
      </c>
      <c r="AA24" s="6">
        <f t="shared" si="32"/>
        <v>7.7475538585620241</v>
      </c>
      <c r="AB24" s="6">
        <f t="shared" si="3"/>
        <v>30.371921925760255</v>
      </c>
      <c r="AC24" s="6">
        <f t="shared" si="4"/>
        <v>3.0371921925760255</v>
      </c>
      <c r="AE24" s="6">
        <f t="shared" si="5"/>
        <v>2104.9442973226896</v>
      </c>
      <c r="AF24" s="6">
        <f t="shared" si="31"/>
        <v>-64.411295498074296</v>
      </c>
      <c r="AG24" s="6">
        <f t="shared" si="31"/>
        <v>-15.185960962880127</v>
      </c>
      <c r="AH24" s="6">
        <f t="shared" si="24"/>
        <v>-16548.000286502625</v>
      </c>
      <c r="AI24" s="6">
        <f t="shared" si="25"/>
        <v>-14522.65324564089</v>
      </c>
      <c r="AJ24" s="6">
        <f t="shared" si="26"/>
        <v>2.0006175284901091</v>
      </c>
      <c r="AK24" s="6">
        <f t="shared" si="27"/>
        <v>63.134955999783294</v>
      </c>
      <c r="AL24" s="6">
        <f t="shared" si="28"/>
        <v>-14457.517672112615</v>
      </c>
      <c r="AM24" s="6">
        <f t="shared" si="29"/>
        <v>4.7103616659859986</v>
      </c>
      <c r="AN24" s="6">
        <f t="shared" si="30"/>
        <v>-14452.807310446629</v>
      </c>
      <c r="AR24" s="128" t="s">
        <v>64</v>
      </c>
      <c r="AS24" s="23">
        <f>SUM($AH$5:AH24)</f>
        <v>-134975.88708477584</v>
      </c>
      <c r="AT24" s="32" t="e">
        <f>INDEX('Term Smoker Mortality Exp'!$A$25:$U$45,MATCH('20 Year Smoker'!AR24,'Term Smoker Mortality Exp'!$A$25:$A$45,0),MATCH('20 Year Smoker'!$E$4,'Term Smoker Mortality Exp'!$A$25:$U$25,0))</f>
        <v>#N/A</v>
      </c>
      <c r="AU24" s="23"/>
      <c r="AV24" s="32"/>
      <c r="AW24" s="32"/>
      <c r="AX24" s="23"/>
    </row>
    <row r="25" spans="1:50" x14ac:dyDescent="0.15">
      <c r="B25" s="56" t="s">
        <v>65</v>
      </c>
      <c r="C25" s="46">
        <f>AP4</f>
        <v>13167.528026443528</v>
      </c>
      <c r="F25" s="3"/>
      <c r="G25" s="10"/>
      <c r="J25" s="3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6"/>
      <c r="AA25" s="6"/>
      <c r="AB25" s="6"/>
      <c r="AC25" s="6"/>
      <c r="AR25" s="126"/>
      <c r="AS25" s="23"/>
      <c r="AT25" s="32"/>
      <c r="AU25" s="23"/>
      <c r="AV25" s="32"/>
      <c r="AW25" s="32"/>
      <c r="AX25" s="23"/>
    </row>
    <row r="26" spans="1:50" x14ac:dyDescent="0.15">
      <c r="B26" s="3" t="s">
        <v>66</v>
      </c>
      <c r="C26" s="10">
        <f>H3*1.2</f>
        <v>8316.6720991891925</v>
      </c>
      <c r="F26" s="3"/>
      <c r="G26" s="10"/>
      <c r="J26" s="3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6"/>
      <c r="AA26" s="6"/>
      <c r="AB26" s="6"/>
      <c r="AC26" s="6"/>
      <c r="AR26" s="126"/>
      <c r="AS26" s="23"/>
      <c r="AT26" s="32"/>
      <c r="AU26" s="23"/>
      <c r="AV26" s="32"/>
      <c r="AW26" s="32"/>
      <c r="AX26" s="23"/>
    </row>
    <row r="27" spans="1:50" x14ac:dyDescent="0.15">
      <c r="B27" s="3"/>
      <c r="C27" s="10"/>
      <c r="F27" s="3"/>
      <c r="G27" s="10"/>
      <c r="J27" s="3"/>
      <c r="AR27" s="63"/>
      <c r="AS27" s="32"/>
      <c r="AT27" s="32"/>
      <c r="AU27" s="23"/>
      <c r="AV27" s="32"/>
      <c r="AW27" s="32"/>
      <c r="AX27" s="23"/>
    </row>
    <row r="28" spans="1:50" x14ac:dyDescent="0.15">
      <c r="B28" s="3"/>
      <c r="C28" s="10"/>
      <c r="F28" s="3"/>
      <c r="G28" s="10"/>
      <c r="AD28" s="44" t="s">
        <v>67</v>
      </c>
      <c r="AE28" s="13">
        <f>SUM(AE4:AE24)</f>
        <v>127734.92491633652</v>
      </c>
      <c r="AF28" s="13">
        <f t="shared" ref="AF28:AN28" si="33">SUM(AF4:AF24)</f>
        <v>-5473.5638861633915</v>
      </c>
      <c r="AG28" s="13">
        <f t="shared" si="33"/>
        <v>-1664.5899347659317</v>
      </c>
      <c r="AH28" s="13">
        <f t="shared" si="33"/>
        <v>-134975.88708477584</v>
      </c>
      <c r="AI28" s="13">
        <f t="shared" si="33"/>
        <v>-14379.115989368624</v>
      </c>
      <c r="AJ28" s="13">
        <f t="shared" si="33"/>
        <v>-77.475538585620157</v>
      </c>
      <c r="AK28" s="13">
        <f t="shared" si="33"/>
        <v>3621.4233507383396</v>
      </c>
      <c r="AL28" s="13">
        <f t="shared" si="33"/>
        <v>-10835.168177215903</v>
      </c>
      <c r="AM28" s="13">
        <f t="shared" si="33"/>
        <v>-3.0371921925760255</v>
      </c>
      <c r="AN28" s="13">
        <f t="shared" si="33"/>
        <v>-10838.20536940847</v>
      </c>
      <c r="AR28" s="63"/>
      <c r="AS28" s="94"/>
      <c r="AT28" s="94" t="e">
        <f>SUMPRODUCT(AS5:AS24,AT5:AT24)</f>
        <v>#N/A</v>
      </c>
    </row>
    <row r="29" spans="1:50" x14ac:dyDescent="0.15">
      <c r="A29" s="51" t="s">
        <v>68</v>
      </c>
      <c r="B29" s="3">
        <v>0</v>
      </c>
      <c r="C29" s="10"/>
      <c r="F29" s="3"/>
      <c r="G29" s="10"/>
    </row>
    <row r="30" spans="1:50" x14ac:dyDescent="0.15">
      <c r="B30" s="3"/>
      <c r="C30" s="10"/>
      <c r="F30" s="3"/>
      <c r="G30" s="10"/>
    </row>
    <row r="31" spans="1:50" x14ac:dyDescent="0.15">
      <c r="B31" s="3"/>
      <c r="C31" s="10"/>
      <c r="F31" s="3"/>
      <c r="G31" s="10"/>
      <c r="H31" s="51"/>
      <c r="AD31" s="51" t="s">
        <v>69</v>
      </c>
      <c r="AE31" s="45">
        <f>AE4+NPV(5.5%,AE5:AE24)</f>
        <v>81607.314640980796</v>
      </c>
      <c r="AF31" s="45">
        <f t="shared" ref="AF31:AN31" si="34">AF4+NPV(5.5%,AF5:AF24)</f>
        <v>-4072.6115899881988</v>
      </c>
      <c r="AG31" s="45">
        <f t="shared" si="34"/>
        <v>-1331.8057894355934</v>
      </c>
      <c r="AH31" s="45">
        <f t="shared" si="34"/>
        <v>-65084.448312858003</v>
      </c>
      <c r="AI31" s="45">
        <f t="shared" si="34"/>
        <v>11118.448948698991</v>
      </c>
      <c r="AJ31" s="45">
        <f t="shared" si="34"/>
        <v>-206.21056959949487</v>
      </c>
      <c r="AK31" s="45">
        <f t="shared" si="34"/>
        <v>2255.2896473440292</v>
      </c>
      <c r="AL31" s="45">
        <f>AL4+NPV(5.5%,AL5:AL24)</f>
        <v>13167.528026443528</v>
      </c>
      <c r="AM31" s="45">
        <f t="shared" si="34"/>
        <v>-7.1252903549388069</v>
      </c>
      <c r="AN31" s="45">
        <f t="shared" si="34"/>
        <v>13160.402736088588</v>
      </c>
      <c r="AP31" s="45">
        <f>NPV(5.5%,AL5:AL22)+AL4</f>
        <v>21741.432029822994</v>
      </c>
    </row>
    <row r="32" spans="1:50" x14ac:dyDescent="0.15">
      <c r="B32" s="3"/>
      <c r="C32" s="10"/>
      <c r="F32" s="3"/>
      <c r="G32" s="10"/>
      <c r="H32" s="62"/>
      <c r="I32" s="51"/>
      <c r="AD32" s="51" t="s">
        <v>70</v>
      </c>
      <c r="AE32" s="45">
        <f>AE4+NPV(12%,AE5:AE24)</f>
        <v>54957.327645555983</v>
      </c>
      <c r="AF32" s="45">
        <f t="shared" ref="AF32:AN32" si="35">AF4+NPV(12%,AF5:AF24)</f>
        <v>-3268.257013679744</v>
      </c>
      <c r="AG32" s="45">
        <f t="shared" si="35"/>
        <v>-1139.5414797868607</v>
      </c>
      <c r="AH32" s="45">
        <f t="shared" si="35"/>
        <v>-32085.330118407139</v>
      </c>
      <c r="AI32" s="45">
        <f t="shared" si="35"/>
        <v>18464.199033682249</v>
      </c>
      <c r="AJ32" s="45">
        <f t="shared" si="35"/>
        <v>-301.91577285107115</v>
      </c>
      <c r="AK32" s="45">
        <f t="shared" si="35"/>
        <v>1462.4632779038477</v>
      </c>
      <c r="AL32" s="45">
        <f t="shared" si="35"/>
        <v>19624.746538735024</v>
      </c>
      <c r="AM32" s="45">
        <f t="shared" si="35"/>
        <v>-8.7772385768204995</v>
      </c>
      <c r="AN32" s="45">
        <f t="shared" si="35"/>
        <v>19615.969300158198</v>
      </c>
    </row>
    <row r="33" spans="2:9" x14ac:dyDescent="0.15">
      <c r="B33" s="3"/>
      <c r="C33" s="10"/>
      <c r="F33" s="3"/>
      <c r="G33" s="10"/>
      <c r="H33" s="62"/>
    </row>
    <row r="34" spans="2:9" x14ac:dyDescent="0.15">
      <c r="B34" s="3"/>
      <c r="C34" s="10"/>
      <c r="F34" s="3"/>
      <c r="G34" s="173"/>
      <c r="H34" s="51"/>
    </row>
    <row r="35" spans="2:9" x14ac:dyDescent="0.15">
      <c r="B35" s="3"/>
      <c r="C35" s="10"/>
      <c r="F35" s="3"/>
      <c r="G35" s="173"/>
      <c r="H35" s="62"/>
    </row>
    <row r="36" spans="2:9" x14ac:dyDescent="0.15">
      <c r="B36" s="3"/>
      <c r="C36" s="10"/>
      <c r="F36" s="3"/>
      <c r="G36" s="173"/>
      <c r="H36" s="51"/>
    </row>
    <row r="37" spans="2:9" x14ac:dyDescent="0.15">
      <c r="B37" s="3"/>
      <c r="C37" s="10"/>
      <c r="F37" s="3"/>
      <c r="G37" s="173"/>
      <c r="H37" s="62"/>
    </row>
    <row r="38" spans="2:9" x14ac:dyDescent="0.15">
      <c r="B38" s="3"/>
      <c r="C38" s="10"/>
      <c r="F38" s="3"/>
      <c r="G38" s="173"/>
      <c r="H38" s="51"/>
    </row>
    <row r="39" spans="2:9" x14ac:dyDescent="0.15">
      <c r="B39" s="3"/>
      <c r="C39" s="10"/>
      <c r="F39" s="3"/>
      <c r="G39" s="173"/>
    </row>
    <row r="40" spans="2:9" x14ac:dyDescent="0.15">
      <c r="B40" s="3"/>
      <c r="C40" s="10"/>
      <c r="F40" s="3"/>
      <c r="G40" s="173"/>
      <c r="I40" s="51"/>
    </row>
    <row r="41" spans="2:9" x14ac:dyDescent="0.15">
      <c r="B41" s="3"/>
      <c r="C41" s="10"/>
      <c r="F41" s="3"/>
      <c r="G41" s="173"/>
      <c r="H41" s="51"/>
    </row>
    <row r="42" spans="2:9" x14ac:dyDescent="0.15">
      <c r="B42" s="3"/>
      <c r="C42" s="10"/>
      <c r="F42" s="3"/>
      <c r="G42" s="173"/>
      <c r="H42" s="51"/>
    </row>
    <row r="43" spans="2:9" x14ac:dyDescent="0.15">
      <c r="B43" s="3"/>
      <c r="C43" s="10"/>
      <c r="F43" s="3"/>
      <c r="G43" s="173"/>
      <c r="H43" s="51"/>
    </row>
    <row r="44" spans="2:9" x14ac:dyDescent="0.15">
      <c r="B44" s="3"/>
      <c r="C44" s="10"/>
      <c r="F44" s="3"/>
      <c r="G44" s="173"/>
      <c r="H44" s="51"/>
    </row>
    <row r="45" spans="2:9" x14ac:dyDescent="0.15">
      <c r="B45" s="3"/>
      <c r="C45" s="10"/>
      <c r="F45" s="3"/>
      <c r="G45" s="173"/>
    </row>
    <row r="46" spans="2:9" x14ac:dyDescent="0.15">
      <c r="B46" s="3"/>
      <c r="C46" s="10"/>
      <c r="F46" s="3"/>
      <c r="G46" s="173"/>
    </row>
    <row r="49" spans="6:24" x14ac:dyDescent="0.15"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</row>
    <row r="50" spans="6:24" x14ac:dyDescent="0.15">
      <c r="F50" s="51"/>
      <c r="G50" s="3"/>
      <c r="H50" s="174"/>
      <c r="I50" s="175"/>
      <c r="J50" s="51"/>
      <c r="K50" s="51"/>
      <c r="L50" s="95"/>
      <c r="M50" s="140"/>
      <c r="N50" s="120"/>
      <c r="O50" s="138"/>
      <c r="P50" s="49"/>
      <c r="Q50" s="95"/>
    </row>
    <row r="51" spans="6:24" x14ac:dyDescent="0.15">
      <c r="F51" s="51"/>
      <c r="G51" s="3"/>
      <c r="M51" s="49"/>
      <c r="N51" s="49"/>
      <c r="P51" s="141"/>
    </row>
    <row r="52" spans="6:24" x14ac:dyDescent="0.15">
      <c r="F52" s="51"/>
      <c r="G52" s="3"/>
      <c r="M52" s="49"/>
      <c r="N52" s="49"/>
      <c r="P52" s="49"/>
    </row>
    <row r="53" spans="6:24" x14ac:dyDescent="0.15">
      <c r="F53" s="51"/>
      <c r="G53" s="3"/>
      <c r="M53" s="49"/>
      <c r="N53" s="49"/>
      <c r="P53" s="141"/>
    </row>
    <row r="56" spans="6:24" x14ac:dyDescent="0.15">
      <c r="F56" s="67" t="s">
        <v>71</v>
      </c>
      <c r="G56" s="69" t="s">
        <v>72</v>
      </c>
      <c r="H56" s="69" t="s">
        <v>73</v>
      </c>
      <c r="I56" s="69" t="s">
        <v>74</v>
      </c>
      <c r="J56" s="69" t="s">
        <v>75</v>
      </c>
      <c r="K56" s="69" t="s">
        <v>76</v>
      </c>
      <c r="L56" s="67" t="s">
        <v>77</v>
      </c>
      <c r="M56" s="67" t="s">
        <v>78</v>
      </c>
      <c r="N56" s="67" t="s">
        <v>79</v>
      </c>
      <c r="O56" s="154"/>
      <c r="P56" s="1"/>
      <c r="Q56" s="1"/>
      <c r="S56" s="55"/>
      <c r="T56" s="55"/>
      <c r="U56" s="55"/>
    </row>
    <row r="57" spans="6:24" x14ac:dyDescent="0.15">
      <c r="F57" s="92">
        <v>26</v>
      </c>
      <c r="G57" s="115">
        <v>3038</v>
      </c>
      <c r="H57" s="157">
        <v>1000000</v>
      </c>
      <c r="I57" s="69"/>
      <c r="J57" s="69"/>
      <c r="K57" s="69"/>
      <c r="L57" s="111">
        <v>1397.1769505141438</v>
      </c>
      <c r="M57" s="111">
        <f>L57*1.2</f>
        <v>1676.6123406169725</v>
      </c>
      <c r="N57" s="112">
        <v>3259.39</v>
      </c>
      <c r="O57" s="111"/>
      <c r="P57" s="116"/>
      <c r="Q57" s="91"/>
      <c r="S57" s="90"/>
      <c r="T57" s="96"/>
      <c r="U57" s="96"/>
      <c r="V57" s="139"/>
      <c r="X57" s="90"/>
    </row>
    <row r="58" spans="6:24" x14ac:dyDescent="0.15">
      <c r="F58" s="92">
        <v>27</v>
      </c>
      <c r="G58" s="115">
        <v>2942</v>
      </c>
      <c r="H58" s="157">
        <v>1000000</v>
      </c>
      <c r="I58" s="69"/>
      <c r="J58" s="69"/>
      <c r="K58" s="69"/>
      <c r="L58" s="111">
        <v>1490.180594144721</v>
      </c>
      <c r="M58" s="111">
        <f t="shared" ref="M58:M71" si="36">L58*1.2</f>
        <v>1788.2167129736652</v>
      </c>
      <c r="N58" s="112">
        <v>3474.45</v>
      </c>
      <c r="O58" s="111"/>
      <c r="P58" s="116"/>
      <c r="Q58" s="91"/>
      <c r="S58" s="90"/>
      <c r="T58" s="96"/>
      <c r="U58" s="96"/>
      <c r="V58" s="139"/>
      <c r="X58" s="90"/>
    </row>
    <row r="59" spans="6:24" x14ac:dyDescent="0.15">
      <c r="F59" s="92">
        <v>28</v>
      </c>
      <c r="G59" s="115">
        <v>2736</v>
      </c>
      <c r="H59" s="157">
        <v>1000000</v>
      </c>
      <c r="I59" s="69"/>
      <c r="J59" s="69"/>
      <c r="K59" s="69"/>
      <c r="L59" s="111">
        <v>1595.0678920146202</v>
      </c>
      <c r="M59" s="111">
        <f t="shared" si="36"/>
        <v>1914.0814704175441</v>
      </c>
      <c r="N59" s="112">
        <v>3716.6</v>
      </c>
      <c r="O59" s="111"/>
      <c r="P59" s="116"/>
      <c r="Q59" s="91"/>
      <c r="S59" s="90"/>
      <c r="T59" s="96"/>
      <c r="U59" s="96"/>
      <c r="V59" s="139"/>
      <c r="X59" s="90"/>
    </row>
    <row r="60" spans="6:24" x14ac:dyDescent="0.15">
      <c r="F60" s="92">
        <v>29</v>
      </c>
      <c r="G60" s="115">
        <v>2641</v>
      </c>
      <c r="H60" s="157">
        <v>1000000</v>
      </c>
      <c r="I60" s="69"/>
      <c r="J60" s="69"/>
      <c r="K60" s="69"/>
      <c r="L60" s="111">
        <v>1712.8613395047862</v>
      </c>
      <c r="M60" s="111">
        <f t="shared" si="36"/>
        <v>2055.4336074057433</v>
      </c>
      <c r="N60" s="112">
        <v>3988.13</v>
      </c>
      <c r="O60" s="111"/>
      <c r="P60" s="116"/>
      <c r="Q60" s="91"/>
      <c r="S60" s="90"/>
      <c r="T60" s="96"/>
      <c r="U60" s="96"/>
      <c r="V60" s="139"/>
      <c r="X60" s="90"/>
    </row>
    <row r="61" spans="6:24" x14ac:dyDescent="0.15">
      <c r="F61" s="92">
        <v>30</v>
      </c>
      <c r="G61" s="115">
        <v>2576</v>
      </c>
      <c r="H61" s="157">
        <v>1000000</v>
      </c>
      <c r="I61" s="69"/>
      <c r="J61" s="69"/>
      <c r="K61" s="69"/>
      <c r="L61" s="111">
        <v>1844.5630377784569</v>
      </c>
      <c r="M61" s="111">
        <f>L61*1.2</f>
        <v>2213.4756453341483</v>
      </c>
      <c r="N61" s="112">
        <v>4291.2</v>
      </c>
      <c r="O61" s="111"/>
      <c r="P61" s="116"/>
      <c r="Q61" s="91"/>
      <c r="S61" s="90"/>
      <c r="T61" s="96"/>
      <c r="U61" s="96"/>
      <c r="V61" s="139"/>
      <c r="X61" s="90"/>
    </row>
    <row r="62" spans="6:24" x14ac:dyDescent="0.15">
      <c r="F62" s="105">
        <v>31</v>
      </c>
      <c r="G62" s="115">
        <v>2501</v>
      </c>
      <c r="H62" s="157">
        <v>1000000</v>
      </c>
      <c r="I62" s="69"/>
      <c r="J62" s="69"/>
      <c r="K62" s="69"/>
      <c r="L62" s="111">
        <v>1990.4147395371547</v>
      </c>
      <c r="M62" s="111">
        <f t="shared" si="36"/>
        <v>2388.4976874445856</v>
      </c>
      <c r="N62" s="112">
        <v>4626.21</v>
      </c>
      <c r="O62" s="111"/>
      <c r="P62" s="116"/>
      <c r="Q62" s="91"/>
      <c r="R62" s="51"/>
      <c r="S62" s="90"/>
      <c r="T62" s="96"/>
      <c r="U62" s="96"/>
      <c r="V62" s="139"/>
      <c r="X62" s="90"/>
    </row>
    <row r="63" spans="6:24" x14ac:dyDescent="0.15">
      <c r="F63" s="92">
        <v>32</v>
      </c>
      <c r="G63" s="115">
        <v>2380</v>
      </c>
      <c r="H63" s="157">
        <v>1000000</v>
      </c>
      <c r="I63" s="69"/>
      <c r="J63" s="69"/>
      <c r="K63" s="69"/>
      <c r="L63" s="111">
        <v>2151.994215391197</v>
      </c>
      <c r="M63" s="111">
        <f t="shared" si="36"/>
        <v>2582.3930584694363</v>
      </c>
      <c r="N63" s="112">
        <v>4996.6000000000004</v>
      </c>
      <c r="O63" s="111"/>
      <c r="P63" s="116"/>
      <c r="Q63" s="91"/>
      <c r="S63" s="90"/>
      <c r="T63" s="96"/>
      <c r="U63" s="96"/>
      <c r="V63" s="139"/>
      <c r="X63" s="90"/>
    </row>
    <row r="64" spans="6:24" x14ac:dyDescent="0.15">
      <c r="F64" s="92">
        <v>33</v>
      </c>
      <c r="G64" s="115">
        <v>2236</v>
      </c>
      <c r="H64" s="157">
        <v>1000000</v>
      </c>
      <c r="I64" s="69"/>
      <c r="J64" s="69"/>
      <c r="K64" s="69"/>
      <c r="L64" s="111">
        <v>2426.3684614283534</v>
      </c>
      <c r="M64" s="111">
        <f t="shared" si="36"/>
        <v>2911.6421537140241</v>
      </c>
      <c r="N64" s="112">
        <v>5626.63</v>
      </c>
      <c r="O64" s="111"/>
      <c r="P64" s="116"/>
      <c r="Q64" s="91"/>
      <c r="S64" s="90"/>
      <c r="T64" s="96"/>
      <c r="U64" s="96"/>
      <c r="V64" s="139"/>
      <c r="X64" s="90"/>
    </row>
    <row r="65" spans="6:24" x14ac:dyDescent="0.15">
      <c r="F65" s="92">
        <v>34</v>
      </c>
      <c r="G65" s="115">
        <v>2191</v>
      </c>
      <c r="H65" s="157">
        <v>1000000</v>
      </c>
      <c r="I65" s="69"/>
      <c r="J65" s="69"/>
      <c r="K65" s="69"/>
      <c r="L65" s="111">
        <v>2734.6402460458248</v>
      </c>
      <c r="M65" s="111">
        <f t="shared" si="36"/>
        <v>3281.5682952549896</v>
      </c>
      <c r="N65" s="112">
        <v>6332.46</v>
      </c>
      <c r="O65" s="111"/>
      <c r="P65" s="116"/>
      <c r="Q65" s="91"/>
      <c r="S65" s="90"/>
      <c r="T65" s="96"/>
      <c r="U65" s="96"/>
      <c r="V65" s="139"/>
      <c r="X65" s="90"/>
    </row>
    <row r="66" spans="6:24" x14ac:dyDescent="0.15">
      <c r="F66" s="92">
        <v>35</v>
      </c>
      <c r="G66" s="115">
        <v>2192</v>
      </c>
      <c r="H66" s="157">
        <v>1000000</v>
      </c>
      <c r="I66" s="69"/>
      <c r="J66" s="69"/>
      <c r="K66" s="69"/>
      <c r="L66" s="111">
        <v>3081.8369991767909</v>
      </c>
      <c r="M66" s="111">
        <f t="shared" si="36"/>
        <v>3698.2043990121488</v>
      </c>
      <c r="N66" s="112">
        <v>7124.4</v>
      </c>
      <c r="O66" s="111"/>
      <c r="P66" s="116"/>
      <c r="Q66" s="91"/>
      <c r="S66" s="90"/>
      <c r="T66" s="96"/>
      <c r="U66" s="96"/>
      <c r="V66" s="139"/>
      <c r="X66" s="90"/>
    </row>
    <row r="67" spans="6:24" x14ac:dyDescent="0.15">
      <c r="F67" s="92">
        <v>36</v>
      </c>
      <c r="G67" s="115">
        <v>2209</v>
      </c>
      <c r="H67" s="157">
        <v>1000000</v>
      </c>
      <c r="I67" s="69"/>
      <c r="J67" s="69"/>
      <c r="K67" s="69"/>
      <c r="L67" s="111">
        <v>3472.6364413542733</v>
      </c>
      <c r="M67" s="111">
        <f t="shared" si="36"/>
        <v>4167.1637296251274</v>
      </c>
      <c r="N67" s="112">
        <v>8011.9</v>
      </c>
      <c r="O67" s="111"/>
      <c r="P67" s="116"/>
      <c r="Q67" s="91"/>
      <c r="S67" s="90"/>
      <c r="T67" s="96"/>
      <c r="U67" s="96"/>
      <c r="V67" s="139"/>
      <c r="X67" s="90"/>
    </row>
    <row r="68" spans="6:24" x14ac:dyDescent="0.15">
      <c r="F68" s="92">
        <v>37</v>
      </c>
      <c r="G68" s="115">
        <v>2109</v>
      </c>
      <c r="H68" s="157">
        <v>1000000</v>
      </c>
      <c r="I68" s="69"/>
      <c r="J68" s="69"/>
      <c r="K68" s="69"/>
      <c r="L68" s="111">
        <v>3958.6347248766219</v>
      </c>
      <c r="M68" s="111">
        <f t="shared" si="36"/>
        <v>4750.3616698519463</v>
      </c>
      <c r="N68" s="112">
        <v>9111.7900000000009</v>
      </c>
      <c r="O68" s="111"/>
      <c r="P68" s="116"/>
      <c r="Q68" s="91"/>
      <c r="S68" s="90"/>
      <c r="T68" s="96"/>
      <c r="U68" s="96"/>
      <c r="V68" s="139"/>
      <c r="X68" s="90"/>
    </row>
    <row r="69" spans="6:24" x14ac:dyDescent="0.15">
      <c r="F69" s="92">
        <v>38</v>
      </c>
      <c r="G69" s="115">
        <v>1963</v>
      </c>
      <c r="H69" s="157">
        <v>1000000</v>
      </c>
      <c r="I69" s="69"/>
      <c r="J69" s="69"/>
      <c r="K69" s="69"/>
      <c r="L69" s="111">
        <v>4499.4013239770993</v>
      </c>
      <c r="M69" s="111">
        <f t="shared" si="36"/>
        <v>5399.2815887725192</v>
      </c>
      <c r="N69" s="112">
        <v>10328.48</v>
      </c>
      <c r="O69" s="111"/>
      <c r="P69" s="116"/>
      <c r="Q69" s="91"/>
      <c r="S69" s="90"/>
      <c r="T69" s="96"/>
      <c r="U69" s="96"/>
      <c r="V69" s="139"/>
      <c r="X69" s="90"/>
    </row>
    <row r="70" spans="6:24" x14ac:dyDescent="0.15">
      <c r="F70" s="92">
        <v>39</v>
      </c>
      <c r="G70" s="115">
        <v>1786</v>
      </c>
      <c r="H70" s="157">
        <v>1000000</v>
      </c>
      <c r="I70" s="69"/>
      <c r="J70" s="69"/>
      <c r="K70" s="69"/>
      <c r="L70" s="111">
        <v>5101.3499985177059</v>
      </c>
      <c r="M70" s="111">
        <f t="shared" si="36"/>
        <v>6121.6199982212465</v>
      </c>
      <c r="N70" s="112">
        <v>11673.37</v>
      </c>
      <c r="O70" s="111"/>
      <c r="P70" s="116"/>
      <c r="Q70" s="91"/>
      <c r="S70" s="90"/>
      <c r="T70" s="96"/>
      <c r="U70" s="96"/>
      <c r="V70" s="139"/>
      <c r="X70" s="90"/>
    </row>
    <row r="71" spans="6:24" x14ac:dyDescent="0.15">
      <c r="F71" s="92">
        <v>40</v>
      </c>
      <c r="G71" s="115">
        <v>1705</v>
      </c>
      <c r="H71" s="157">
        <v>1000000</v>
      </c>
      <c r="I71" s="69"/>
      <c r="J71" s="69"/>
      <c r="K71" s="69"/>
      <c r="L71" s="111">
        <v>5775.4667355480506</v>
      </c>
      <c r="M71" s="111">
        <f t="shared" si="36"/>
        <v>6930.5600826576601</v>
      </c>
      <c r="N71" s="112">
        <v>13167.53</v>
      </c>
      <c r="O71" s="111"/>
      <c r="P71" s="116"/>
      <c r="Q71" s="91"/>
      <c r="S71" s="90"/>
      <c r="T71" s="96"/>
      <c r="U71" s="96"/>
      <c r="V71" s="139"/>
      <c r="X71" s="90"/>
    </row>
    <row r="72" spans="6:24" x14ac:dyDescent="0.15">
      <c r="F72" s="108"/>
      <c r="G72" s="108"/>
      <c r="H72" s="108"/>
      <c r="I72" s="108"/>
      <c r="J72" s="108"/>
      <c r="K72" s="108"/>
      <c r="L72" s="108"/>
      <c r="M72" s="108"/>
      <c r="N72" s="109"/>
      <c r="O72" s="91"/>
      <c r="P72" s="116"/>
      <c r="Q72" s="91"/>
      <c r="S72" s="90"/>
      <c r="T72" s="96"/>
      <c r="U72" s="96"/>
      <c r="V72" s="139"/>
      <c r="X72" s="90"/>
    </row>
    <row r="73" spans="6:24" x14ac:dyDescent="0.15">
      <c r="N73" s="90"/>
      <c r="O73" s="91"/>
      <c r="P73" s="116"/>
      <c r="Q73" s="91"/>
      <c r="S73" s="90"/>
      <c r="T73" s="96"/>
      <c r="U73" s="96"/>
      <c r="V73" s="139"/>
      <c r="X73" s="90"/>
    </row>
    <row r="74" spans="6:24" x14ac:dyDescent="0.15">
      <c r="N74" s="90"/>
      <c r="O74" s="91"/>
      <c r="P74" s="116"/>
      <c r="Q74" s="91"/>
      <c r="S74" s="90"/>
      <c r="T74" s="96"/>
      <c r="U74" s="96"/>
      <c r="V74" s="139"/>
      <c r="X74" s="90"/>
    </row>
    <row r="75" spans="6:24" x14ac:dyDescent="0.15">
      <c r="N75" s="90"/>
      <c r="O75" s="91"/>
      <c r="P75" s="116"/>
      <c r="Q75" s="91"/>
      <c r="S75" s="90"/>
      <c r="T75" s="96"/>
      <c r="U75" s="96"/>
      <c r="V75" s="139"/>
      <c r="X75" s="90"/>
    </row>
    <row r="76" spans="6:24" x14ac:dyDescent="0.15">
      <c r="N76" s="90"/>
      <c r="O76" s="91"/>
      <c r="P76" s="116"/>
      <c r="Q76" s="91"/>
      <c r="S76" s="90"/>
      <c r="T76" s="96"/>
      <c r="U76" s="96"/>
      <c r="V76" s="139"/>
      <c r="X76" s="90"/>
    </row>
    <row r="77" spans="6:24" x14ac:dyDescent="0.15">
      <c r="N77" s="90"/>
      <c r="O77" s="91"/>
      <c r="P77" s="91"/>
      <c r="Q77" s="91"/>
    </row>
    <row r="78" spans="6:24" x14ac:dyDescent="0.15">
      <c r="N78" s="90"/>
      <c r="O78" s="91"/>
      <c r="P78" s="91"/>
      <c r="Q78" s="91"/>
    </row>
    <row r="79" spans="6:24" x14ac:dyDescent="0.15">
      <c r="N79" s="90"/>
      <c r="O79" s="91"/>
      <c r="P79" s="91"/>
      <c r="Q79" s="91"/>
      <c r="U79" s="96"/>
    </row>
    <row r="80" spans="6:24" x14ac:dyDescent="0.15">
      <c r="N80" s="90"/>
      <c r="O80" s="91"/>
      <c r="P80" s="91"/>
      <c r="Q80" s="91"/>
    </row>
    <row r="81" spans="14:17" x14ac:dyDescent="0.15">
      <c r="N81" s="90"/>
      <c r="O81" s="91"/>
      <c r="P81" s="91"/>
      <c r="Q81" s="91"/>
    </row>
    <row r="82" spans="14:17" x14ac:dyDescent="0.15">
      <c r="N82" s="90"/>
      <c r="O82" s="91"/>
      <c r="P82" s="91"/>
      <c r="Q82" s="91"/>
    </row>
    <row r="83" spans="14:17" x14ac:dyDescent="0.15">
      <c r="N83" s="90"/>
      <c r="O83" s="91"/>
      <c r="P83" s="91"/>
      <c r="Q83" s="91"/>
    </row>
    <row r="84" spans="14:17" x14ac:dyDescent="0.15">
      <c r="N84" s="90"/>
      <c r="O84" s="91"/>
      <c r="P84" s="91"/>
      <c r="Q84" s="91"/>
    </row>
    <row r="85" spans="14:17" x14ac:dyDescent="0.15">
      <c r="N85" s="90"/>
      <c r="O85" s="91"/>
      <c r="P85" s="91"/>
      <c r="Q85" s="91"/>
    </row>
    <row r="86" spans="14:17" x14ac:dyDescent="0.15">
      <c r="N86" s="90"/>
      <c r="O86" s="91"/>
      <c r="P86" s="91"/>
      <c r="Q86" s="91"/>
    </row>
    <row r="87" spans="14:17" x14ac:dyDescent="0.15">
      <c r="N87" s="90"/>
      <c r="O87" s="91"/>
      <c r="P87" s="91"/>
      <c r="Q87" s="91"/>
    </row>
    <row r="88" spans="14:17" x14ac:dyDescent="0.15">
      <c r="N88" s="90"/>
      <c r="O88" s="91"/>
      <c r="P88" s="91"/>
      <c r="Q88" s="91"/>
    </row>
    <row r="89" spans="14:17" x14ac:dyDescent="0.15">
      <c r="N89" s="90"/>
      <c r="O89" s="91"/>
      <c r="P89" s="91"/>
      <c r="Q89" s="91"/>
    </row>
    <row r="90" spans="14:17" x14ac:dyDescent="0.15">
      <c r="N90" s="90"/>
      <c r="O90" s="91"/>
      <c r="P90" s="91"/>
      <c r="Q90" s="91"/>
    </row>
    <row r="91" spans="14:17" x14ac:dyDescent="0.15">
      <c r="N91" s="90"/>
      <c r="O91" s="91"/>
      <c r="P91" s="91"/>
      <c r="Q91" s="91"/>
    </row>
    <row r="92" spans="14:17" x14ac:dyDescent="0.15">
      <c r="O92" s="91"/>
      <c r="P92" s="91"/>
      <c r="Q92" s="91"/>
    </row>
    <row r="93" spans="14:17" x14ac:dyDescent="0.15">
      <c r="O93" s="91"/>
      <c r="P93" s="91"/>
      <c r="Q93" s="91"/>
    </row>
    <row r="94" spans="14:17" x14ac:dyDescent="0.15">
      <c r="O94" s="91"/>
      <c r="P94" s="91"/>
      <c r="Q94" s="91"/>
    </row>
    <row r="95" spans="14:17" x14ac:dyDescent="0.15">
      <c r="O95" s="91"/>
      <c r="P95" s="91"/>
      <c r="Q95" s="91"/>
    </row>
    <row r="96" spans="14:17" x14ac:dyDescent="0.15">
      <c r="O96" s="91"/>
      <c r="P96" s="91"/>
      <c r="Q96" s="91"/>
    </row>
  </sheetData>
  <mergeCells count="3">
    <mergeCell ref="AE1:AN1"/>
    <mergeCell ref="S2:X2"/>
    <mergeCell ref="Z2:AC2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CA800-4C3B-564E-B64F-D619D69FCE2F}">
  <sheetPr codeName="Sheet4"/>
  <dimension ref="A1:AY116"/>
  <sheetViews>
    <sheetView zoomScale="80" zoomScaleNormal="80" workbookViewId="0">
      <pane ySplit="3" topLeftCell="A56" activePane="bottomLeft" state="frozen"/>
      <selection pane="bottomLeft" activeCell="F14" sqref="F14"/>
    </sheetView>
  </sheetViews>
  <sheetFormatPr baseColWidth="10" defaultColWidth="10.6640625" defaultRowHeight="13" x14ac:dyDescent="0.15"/>
  <cols>
    <col min="1" max="1" width="12.6640625" customWidth="1"/>
    <col min="2" max="2" width="24.33203125" customWidth="1"/>
    <col min="3" max="3" width="16.6640625" customWidth="1"/>
    <col min="5" max="5" width="17.1640625" customWidth="1"/>
    <col min="6" max="6" width="43.6640625" customWidth="1"/>
    <col min="7" max="7" width="20.83203125" customWidth="1"/>
    <col min="8" max="8" width="18.5" customWidth="1"/>
    <col min="12" max="12" width="12.5" customWidth="1"/>
    <col min="13" max="13" width="22.5" customWidth="1"/>
    <col min="14" max="14" width="23.33203125" customWidth="1"/>
    <col min="15" max="15" width="21.83203125" customWidth="1"/>
    <col min="16" max="16" width="14" customWidth="1"/>
    <col min="17" max="18" width="11.1640625" customWidth="1"/>
    <col min="19" max="19" width="15.5" customWidth="1"/>
    <col min="20" max="20" width="17.33203125" bestFit="1" customWidth="1"/>
    <col min="21" max="21" width="15.6640625" bestFit="1" customWidth="1"/>
    <col min="22" max="22" width="15.5" customWidth="1"/>
    <col min="23" max="23" width="15.83203125" customWidth="1"/>
    <col min="24" max="24" width="10.83203125" customWidth="1"/>
    <col min="25" max="25" width="18.1640625" customWidth="1"/>
    <col min="26" max="26" width="18.6640625" customWidth="1"/>
    <col min="27" max="27" width="19.6640625" customWidth="1"/>
    <col min="28" max="29" width="10.6640625" customWidth="1"/>
    <col min="30" max="30" width="21.6640625" customWidth="1"/>
    <col min="32" max="32" width="11.33203125" customWidth="1"/>
    <col min="34" max="34" width="14.5" customWidth="1"/>
    <col min="35" max="35" width="15.5" customWidth="1"/>
    <col min="38" max="38" width="12.5" customWidth="1"/>
    <col min="39" max="39" width="12.1640625" customWidth="1"/>
    <col min="40" max="40" width="13.5" customWidth="1"/>
    <col min="42" max="42" width="16.1640625" customWidth="1"/>
    <col min="45" max="45" width="16.33203125" customWidth="1"/>
    <col min="46" max="46" width="18.6640625" customWidth="1"/>
    <col min="47" max="47" width="11.1640625" customWidth="1"/>
    <col min="51" max="51" width="9.5" bestFit="1" customWidth="1"/>
  </cols>
  <sheetData>
    <row r="1" spans="1:51" ht="16" x14ac:dyDescent="0.2">
      <c r="A1" s="42"/>
      <c r="AE1" s="202" t="s">
        <v>0</v>
      </c>
      <c r="AF1" s="203"/>
      <c r="AG1" s="203"/>
      <c r="AH1" s="203"/>
      <c r="AI1" s="203"/>
      <c r="AJ1" s="203"/>
      <c r="AK1" s="204"/>
      <c r="AL1" s="204"/>
      <c r="AM1" s="204"/>
      <c r="AN1" s="204"/>
    </row>
    <row r="2" spans="1:51" ht="15" x14ac:dyDescent="0.2">
      <c r="K2" s="29" t="s">
        <v>1</v>
      </c>
      <c r="L2" s="29"/>
      <c r="M2" s="29"/>
      <c r="N2" s="29"/>
      <c r="O2" s="29"/>
      <c r="P2" s="29"/>
      <c r="Q2" s="29"/>
      <c r="S2" s="205" t="s">
        <v>2</v>
      </c>
      <c r="T2" s="206"/>
      <c r="U2" s="206"/>
      <c r="V2" s="206"/>
      <c r="W2" s="207"/>
      <c r="X2" s="208"/>
      <c r="Z2" s="209" t="s">
        <v>3</v>
      </c>
      <c r="AA2" s="210"/>
      <c r="AB2" s="210"/>
      <c r="AC2" s="210"/>
      <c r="AE2" s="2" t="s">
        <v>4</v>
      </c>
      <c r="AF2" s="2" t="s">
        <v>5</v>
      </c>
      <c r="AG2" s="2" t="s">
        <v>6</v>
      </c>
      <c r="AH2" s="2" t="s">
        <v>7</v>
      </c>
      <c r="AI2" s="2"/>
      <c r="AJ2" s="2" t="s">
        <v>8</v>
      </c>
      <c r="AK2" s="2" t="s">
        <v>9</v>
      </c>
      <c r="AL2" s="2" t="s">
        <v>10</v>
      </c>
      <c r="AM2" s="2" t="s">
        <v>11</v>
      </c>
      <c r="AN2" s="2" t="s">
        <v>12</v>
      </c>
    </row>
    <row r="3" spans="1:51" ht="28" x14ac:dyDescent="0.15">
      <c r="G3" t="s">
        <v>13</v>
      </c>
      <c r="H3" s="153">
        <v>6376.1153000000004</v>
      </c>
      <c r="I3" s="82" t="s">
        <v>14</v>
      </c>
      <c r="J3" s="76" t="s">
        <v>15</v>
      </c>
      <c r="K3" s="2" t="s">
        <v>16</v>
      </c>
      <c r="L3" s="2" t="s">
        <v>17</v>
      </c>
      <c r="M3" s="2" t="s">
        <v>18</v>
      </c>
      <c r="N3" s="77" t="s">
        <v>19</v>
      </c>
      <c r="O3" s="77" t="s">
        <v>20</v>
      </c>
      <c r="P3" s="77" t="s">
        <v>21</v>
      </c>
      <c r="Q3" s="77" t="s">
        <v>22</v>
      </c>
      <c r="R3" s="77"/>
      <c r="S3" s="77" t="s">
        <v>23</v>
      </c>
      <c r="T3" s="77" t="s">
        <v>24</v>
      </c>
      <c r="U3" s="77" t="s">
        <v>25</v>
      </c>
      <c r="V3" s="77" t="s">
        <v>26</v>
      </c>
      <c r="W3" s="77" t="s">
        <v>27</v>
      </c>
      <c r="X3" s="77" t="s">
        <v>28</v>
      </c>
      <c r="Y3" s="77"/>
      <c r="Z3" s="77" t="s">
        <v>29</v>
      </c>
      <c r="AA3" s="77" t="s">
        <v>30</v>
      </c>
      <c r="AB3" s="77" t="s">
        <v>31</v>
      </c>
      <c r="AC3" s="77" t="s">
        <v>32</v>
      </c>
      <c r="AD3" s="77"/>
      <c r="AE3" s="78" t="s">
        <v>33</v>
      </c>
      <c r="AF3" s="78" t="s">
        <v>34</v>
      </c>
      <c r="AG3" s="78" t="s">
        <v>35</v>
      </c>
      <c r="AH3" s="78" t="s">
        <v>36</v>
      </c>
      <c r="AI3" s="78" t="s">
        <v>37</v>
      </c>
      <c r="AJ3" s="78" t="s">
        <v>38</v>
      </c>
      <c r="AK3" s="78" t="s">
        <v>39</v>
      </c>
      <c r="AL3" s="78" t="s">
        <v>40</v>
      </c>
      <c r="AM3" s="78" t="s">
        <v>41</v>
      </c>
      <c r="AN3" s="78" t="s">
        <v>42</v>
      </c>
      <c r="AO3" s="7" t="s">
        <v>43</v>
      </c>
      <c r="AP3" s="2"/>
      <c r="AQ3" s="2"/>
    </row>
    <row r="4" spans="1:51" x14ac:dyDescent="0.15">
      <c r="A4" s="83" t="s">
        <v>44</v>
      </c>
      <c r="B4" s="19"/>
      <c r="C4" s="19"/>
      <c r="D4" s="19"/>
      <c r="E4" s="65">
        <v>40</v>
      </c>
      <c r="G4" s="45"/>
      <c r="H4" s="2"/>
      <c r="I4" s="2"/>
      <c r="J4" s="2">
        <v>0</v>
      </c>
      <c r="K4" s="13">
        <f>$H$3</f>
        <v>6376.1153000000004</v>
      </c>
      <c r="L4" s="13">
        <f>K4*C16</f>
        <v>1821.0185296799998</v>
      </c>
      <c r="M4" s="26">
        <f>100+10%*K4+B29</f>
        <v>2737.6115300000001</v>
      </c>
      <c r="N4" s="13">
        <f>$E$11</f>
        <v>1000000</v>
      </c>
      <c r="O4" s="50">
        <v>0.8</v>
      </c>
      <c r="P4" s="6">
        <f>N4*O4/1000</f>
        <v>800</v>
      </c>
      <c r="Q4" s="39">
        <f>$H$14*N4/1000</f>
        <v>10</v>
      </c>
      <c r="U4" s="38">
        <v>1</v>
      </c>
      <c r="V4" s="36"/>
      <c r="W4" s="36"/>
      <c r="X4" s="36">
        <f>U4-SUM(V4:W4)</f>
        <v>1</v>
      </c>
      <c r="Y4" s="36"/>
      <c r="Z4" s="6"/>
      <c r="AA4" s="6"/>
      <c r="AB4" s="6">
        <f>P4*X4</f>
        <v>800</v>
      </c>
      <c r="AC4" s="6">
        <f>Q4*X4</f>
        <v>10</v>
      </c>
      <c r="AD4" s="36"/>
      <c r="AE4" s="6">
        <f>$X4*K4</f>
        <v>6376.1153000000004</v>
      </c>
      <c r="AF4" s="6">
        <f>-$X4*L4</f>
        <v>-1821.0185296799998</v>
      </c>
      <c r="AG4" s="6">
        <f>-$X4*M4</f>
        <v>-2737.6115300000001</v>
      </c>
      <c r="AH4" s="6"/>
      <c r="AI4" s="6">
        <f>SUM(AE4:AH4)</f>
        <v>1817.4852403200002</v>
      </c>
      <c r="AJ4" s="6">
        <f>Z4-AB4</f>
        <v>-800</v>
      </c>
      <c r="AK4" s="6"/>
      <c r="AL4" s="6">
        <f>SUM(AI4:AK4)</f>
        <v>1017.4852403200002</v>
      </c>
      <c r="AM4" s="6">
        <f>AA4-AC4</f>
        <v>-10</v>
      </c>
      <c r="AN4" s="6">
        <f>AL4+AM4</f>
        <v>1007.4852403200002</v>
      </c>
      <c r="AP4" s="41">
        <f>AL31</f>
        <v>29024.199473328903</v>
      </c>
      <c r="AR4" s="128" t="s">
        <v>45</v>
      </c>
      <c r="AS4" s="23"/>
      <c r="AT4" s="32"/>
      <c r="AU4" s="23"/>
      <c r="AV4" s="32"/>
      <c r="AW4" s="32"/>
      <c r="AX4" s="23"/>
    </row>
    <row r="5" spans="1:51" x14ac:dyDescent="0.15">
      <c r="G5" s="45"/>
      <c r="H5" s="28"/>
      <c r="I5" s="14">
        <f>$E$4+J5-1</f>
        <v>40</v>
      </c>
      <c r="J5" s="3">
        <f>J4+1</f>
        <v>1</v>
      </c>
      <c r="K5" s="13">
        <f>$H$3</f>
        <v>6376.1153000000004</v>
      </c>
      <c r="L5" s="13">
        <v>8</v>
      </c>
      <c r="M5" s="59">
        <v>50</v>
      </c>
      <c r="N5" s="13">
        <f t="shared" ref="N5:N24" si="0">$E$11</f>
        <v>1000000</v>
      </c>
      <c r="O5" s="30">
        <v>0.3</v>
      </c>
      <c r="P5" s="39">
        <f t="shared" ref="P5:P24" si="1">N5*O5/1000</f>
        <v>300</v>
      </c>
      <c r="Q5" s="39">
        <f t="shared" ref="Q5:Q24" si="2">$H$14*N5/1000</f>
        <v>10</v>
      </c>
      <c r="R5" s="30"/>
      <c r="S5" s="43">
        <f>VLOOKUP(I5,'Mortality Table Latest'!$A$3:$E$123,5,FALSE)*(1-$B$30)*1000</f>
        <v>1.6541249999999998</v>
      </c>
      <c r="T5">
        <v>6.1170142103574403E-3</v>
      </c>
      <c r="U5" s="37">
        <f>X4</f>
        <v>1</v>
      </c>
      <c r="V5" s="37">
        <f>U5*S5/1000</f>
        <v>1.6541249999999998E-3</v>
      </c>
      <c r="W5" s="37">
        <f>MIN(T5*U5,U5-V5)</f>
        <v>6.1170142103574403E-3</v>
      </c>
      <c r="X5" s="36">
        <f>U5-SUM(V5:W5)</f>
        <v>0.99222886078964256</v>
      </c>
      <c r="Y5" s="36"/>
      <c r="Z5" s="6">
        <f>AB4</f>
        <v>800</v>
      </c>
      <c r="AA5" s="6">
        <f>AC4</f>
        <v>10</v>
      </c>
      <c r="AB5" s="6">
        <f t="shared" ref="AB5:AB24" si="3">P5*X5</f>
        <v>297.66865823689278</v>
      </c>
      <c r="AC5" s="6">
        <f t="shared" ref="AC5:AC24" si="4">Q5*X5</f>
        <v>9.9222886078964265</v>
      </c>
      <c r="AD5" s="36"/>
      <c r="AE5" s="6">
        <f t="shared" ref="AE5:AE24" si="5">$X5*K5</f>
        <v>6326.5656203824101</v>
      </c>
      <c r="AF5" s="6">
        <f t="shared" ref="AF5:AG20" si="6">-$X5*L5</f>
        <v>-7.9378308863171405</v>
      </c>
      <c r="AG5" s="6">
        <f t="shared" si="6"/>
        <v>-49.611443039482126</v>
      </c>
      <c r="AH5" s="6">
        <f>-V5*N5</f>
        <v>-1654.1249999999998</v>
      </c>
      <c r="AI5" s="6">
        <f>SUM(AE5:AH5)</f>
        <v>4614.8913464566112</v>
      </c>
      <c r="AJ5" s="6">
        <f>-N5*$X4*(O5-O4)/1000</f>
        <v>500</v>
      </c>
      <c r="AK5" s="6">
        <f>$D$6*SUM(Z5:AA5,AE5:AF5)</f>
        <v>211.72024534803398</v>
      </c>
      <c r="AL5" s="6">
        <f t="shared" ref="AL5:AL14" si="7">SUM(AI5:AK5)</f>
        <v>5326.6115918046453</v>
      </c>
      <c r="AM5" s="6">
        <f t="shared" ref="AM5:AM24" si="8">AA5-AC5</f>
        <v>7.7711392103573473E-2</v>
      </c>
      <c r="AN5" s="6">
        <f t="shared" ref="AN5:AN24" si="9">AL5+AM5</f>
        <v>5326.6893031967493</v>
      </c>
      <c r="AO5" t="s">
        <v>46</v>
      </c>
      <c r="AP5" s="28"/>
      <c r="AR5" s="126">
        <v>2023</v>
      </c>
      <c r="AS5" s="23">
        <f>AH5</f>
        <v>-1654.1249999999998</v>
      </c>
      <c r="AT5" s="32">
        <f>INDEX('Term Smoker Mortality Exp'!$A$25:$U$45,MATCH('20 Year Smoker W Intervention'!AR5,'Term Smoker Mortality Exp'!$A$25:$A$45,0),MATCH('20 Year Smoker W Intervention'!$E$4,'Term Smoker Mortality Exp'!$A$25:$U$25,0))</f>
        <v>3</v>
      </c>
      <c r="AU5" s="23"/>
      <c r="AV5" s="32"/>
      <c r="AW5" s="32"/>
      <c r="AX5" s="23"/>
    </row>
    <row r="6" spans="1:51" x14ac:dyDescent="0.15">
      <c r="A6" s="15" t="s">
        <v>47</v>
      </c>
      <c r="B6" s="15"/>
      <c r="C6" s="15"/>
      <c r="D6" s="84">
        <v>2.9700000000000001E-2</v>
      </c>
      <c r="E6" s="8"/>
      <c r="F6" s="8"/>
      <c r="G6" s="45"/>
      <c r="H6" s="2"/>
      <c r="I6" s="14">
        <f t="shared" ref="I6:I24" si="10">$E$4+J6-1</f>
        <v>41</v>
      </c>
      <c r="J6" s="3">
        <f t="shared" ref="J6:J24" si="11">J5+1</f>
        <v>2</v>
      </c>
      <c r="K6" s="13">
        <f t="shared" ref="K6:K24" si="12">$H$3</f>
        <v>6376.1153000000004</v>
      </c>
      <c r="L6" s="13">
        <f>K6*$C$17</f>
        <v>260.14550424000004</v>
      </c>
      <c r="M6" s="59">
        <v>50</v>
      </c>
      <c r="N6" s="13">
        <f t="shared" si="0"/>
        <v>1000000</v>
      </c>
      <c r="O6" s="30">
        <v>0.4</v>
      </c>
      <c r="P6" s="39">
        <f>N6*O6/1000</f>
        <v>400</v>
      </c>
      <c r="Q6" s="39">
        <f t="shared" si="2"/>
        <v>10</v>
      </c>
      <c r="R6" s="30"/>
      <c r="S6" s="43">
        <f>VLOOKUP(I6,'Mortality Table Latest'!$A$3:$E$123,5,FALSE)*(1-$B$30)*1000</f>
        <v>1.791075</v>
      </c>
      <c r="T6">
        <v>6.1682099946429939E-3</v>
      </c>
      <c r="U6" s="37">
        <f>X5</f>
        <v>0.99222886078964256</v>
      </c>
      <c r="V6" s="37">
        <f t="shared" ref="V6:V24" si="13">U6*S6/1000</f>
        <v>1.7771563068388089E-3</v>
      </c>
      <c r="W6" s="37">
        <f t="shared" ref="W6:W24" si="14">MIN(T6*U6,U6-V6)</f>
        <v>6.1202759760959052E-3</v>
      </c>
      <c r="X6" s="36">
        <f>U6-SUM(V6:W6)</f>
        <v>0.98433142850670785</v>
      </c>
      <c r="Y6" s="36"/>
      <c r="Z6" s="6">
        <f t="shared" ref="Z6:AA21" si="15">AB5</f>
        <v>297.66865823689278</v>
      </c>
      <c r="AA6" s="6">
        <f t="shared" si="15"/>
        <v>9.9222886078964265</v>
      </c>
      <c r="AB6" s="6">
        <f t="shared" si="3"/>
        <v>393.73257140268316</v>
      </c>
      <c r="AC6" s="6">
        <f t="shared" si="4"/>
        <v>9.8433142850670787</v>
      </c>
      <c r="AD6" s="36"/>
      <c r="AE6" s="6">
        <f>$X6*K6</f>
        <v>6276.2106815724765</v>
      </c>
      <c r="AF6" s="6">
        <f t="shared" si="6"/>
        <v>-256.06939580815708</v>
      </c>
      <c r="AG6" s="6">
        <f t="shared" si="6"/>
        <v>-49.216571425335395</v>
      </c>
      <c r="AH6" s="6">
        <f t="shared" ref="AH6:AH21" si="16">-V6*N6</f>
        <v>-1777.1563068388089</v>
      </c>
      <c r="AI6" s="6">
        <f t="shared" ref="AI6:AI13" si="17">SUM(AE6:AH6)</f>
        <v>4193.7684075001753</v>
      </c>
      <c r="AJ6" s="6">
        <f>-N6*($X5*O6-$X4*O5)/1000</f>
        <v>-96.891544315857061</v>
      </c>
      <c r="AK6" s="6">
        <f t="shared" ref="AK6:AK24" si="18">$D$6*SUM(Z6:AA6,AE6:AF6)</f>
        <v>187.93364730849052</v>
      </c>
      <c r="AL6" s="6">
        <f t="shared" si="7"/>
        <v>4284.810510492809</v>
      </c>
      <c r="AM6" s="6">
        <f t="shared" si="8"/>
        <v>7.8974322829347798E-2</v>
      </c>
      <c r="AN6" s="6">
        <f t="shared" si="9"/>
        <v>4284.8894848156388</v>
      </c>
      <c r="AP6" s="41">
        <f>AN31</f>
        <v>15410.479652282687</v>
      </c>
      <c r="AR6" s="126">
        <f>AR5-1</f>
        <v>2022</v>
      </c>
      <c r="AS6" s="23">
        <f>SUM($AH$5:AH6)</f>
        <v>-3431.2813068388086</v>
      </c>
      <c r="AT6" s="32">
        <f>INDEX('Term Smoker Mortality Exp'!$A$25:$U$45,MATCH('20 Year Smoker W Intervention'!AR6,'Term Smoker Mortality Exp'!$A$25:$A$45,0),MATCH('20 Year Smoker W Intervention'!$E$4,'Term Smoker Mortality Exp'!$A$25:$U$25,0))</f>
        <v>5</v>
      </c>
      <c r="AU6" s="23"/>
      <c r="AV6" s="32"/>
      <c r="AW6" s="32"/>
      <c r="AX6" s="23"/>
    </row>
    <row r="7" spans="1:51" x14ac:dyDescent="0.15">
      <c r="A7" s="19" t="s">
        <v>48</v>
      </c>
      <c r="B7" s="19"/>
      <c r="C7" s="79"/>
      <c r="D7" s="11">
        <v>5.5E-2</v>
      </c>
      <c r="E7" s="8"/>
      <c r="F7" s="8"/>
      <c r="G7" s="8"/>
      <c r="H7" s="47"/>
      <c r="I7" s="14">
        <f t="shared" si="10"/>
        <v>42</v>
      </c>
      <c r="J7" s="3">
        <f t="shared" si="11"/>
        <v>3</v>
      </c>
      <c r="K7" s="13">
        <f t="shared" si="12"/>
        <v>6376.1153000000004</v>
      </c>
      <c r="L7" s="13">
        <f t="shared" ref="L7:L24" si="19">K7*$C$17</f>
        <v>260.14550424000004</v>
      </c>
      <c r="M7" s="59">
        <v>50</v>
      </c>
      <c r="N7" s="13">
        <f t="shared" si="0"/>
        <v>1000000</v>
      </c>
      <c r="O7" s="30">
        <v>0.4</v>
      </c>
      <c r="P7" s="39">
        <f t="shared" si="1"/>
        <v>400</v>
      </c>
      <c r="Q7" s="39">
        <f t="shared" si="2"/>
        <v>10</v>
      </c>
      <c r="R7" s="30"/>
      <c r="S7" s="43">
        <f>VLOOKUP(I7,'Mortality Table Latest'!$A$3:$E$123,5,FALSE)*(1-$B$30)*1000</f>
        <v>1.9469999999999998</v>
      </c>
      <c r="T7">
        <v>6.1844770561514965E-3</v>
      </c>
      <c r="U7" s="37">
        <f t="shared" ref="U7:U24" si="20">X6</f>
        <v>0.98433142850670785</v>
      </c>
      <c r="V7" s="37">
        <f t="shared" si="13"/>
        <v>1.91649329130256E-3</v>
      </c>
      <c r="W7" s="37">
        <f t="shared" si="14"/>
        <v>6.0875751352485619E-3</v>
      </c>
      <c r="X7" s="36">
        <f t="shared" ref="X7:X24" si="21">U7-SUM(V7:W7)</f>
        <v>0.97632736008015675</v>
      </c>
      <c r="Y7" s="36"/>
      <c r="Z7" s="6">
        <f t="shared" si="15"/>
        <v>393.73257140268316</v>
      </c>
      <c r="AA7" s="6">
        <f t="shared" si="15"/>
        <v>9.8433142850670787</v>
      </c>
      <c r="AB7" s="6">
        <f t="shared" si="3"/>
        <v>390.53094403206268</v>
      </c>
      <c r="AC7" s="6">
        <f t="shared" si="4"/>
        <v>9.7632736008015684</v>
      </c>
      <c r="AD7" s="36"/>
      <c r="AE7" s="6">
        <f>$X7*K7</f>
        <v>6225.175818415697</v>
      </c>
      <c r="AF7" s="6">
        <f t="shared" si="6"/>
        <v>-253.98717339136047</v>
      </c>
      <c r="AG7" s="6">
        <f t="shared" si="6"/>
        <v>-48.816368004007835</v>
      </c>
      <c r="AH7" s="6">
        <f t="shared" si="16"/>
        <v>-1916.49329130256</v>
      </c>
      <c r="AI7" s="6">
        <f t="shared" si="17"/>
        <v>4005.8789857177685</v>
      </c>
      <c r="AJ7" s="6">
        <f t="shared" ref="AJ7:AJ24" si="22">-N7*($X6*O7-$X5*O6)/1000</f>
        <v>3.1589729131739075</v>
      </c>
      <c r="AK7" s="6">
        <f t="shared" si="18"/>
        <v>189.33050656214897</v>
      </c>
      <c r="AL7" s="6">
        <f t="shared" si="7"/>
        <v>4198.3684651930917</v>
      </c>
      <c r="AM7" s="6">
        <f t="shared" si="8"/>
        <v>8.0040684265510365E-2</v>
      </c>
      <c r="AN7" s="6">
        <f t="shared" si="9"/>
        <v>4198.4485058773571</v>
      </c>
      <c r="AR7" s="126">
        <f t="shared" ref="AR7:AR22" si="23">AR6-1</f>
        <v>2021</v>
      </c>
      <c r="AS7" s="23">
        <f>SUM($AH$5:AH7)</f>
        <v>-5347.7745981413682</v>
      </c>
      <c r="AT7" s="32">
        <f>INDEX('Term Smoker Mortality Exp'!$A$25:$U$45,MATCH('20 Year Smoker W Intervention'!AR7,'Term Smoker Mortality Exp'!$A$25:$A$45,0),MATCH('20 Year Smoker W Intervention'!$E$4,'Term Smoker Mortality Exp'!$A$25:$U$25,0))</f>
        <v>7</v>
      </c>
      <c r="AU7" s="23"/>
      <c r="AV7" s="32"/>
      <c r="AW7" s="32"/>
      <c r="AX7" s="23"/>
    </row>
    <row r="8" spans="1:51" x14ac:dyDescent="0.15">
      <c r="A8" s="15" t="s">
        <v>49</v>
      </c>
      <c r="B8" s="15"/>
      <c r="C8" s="16"/>
      <c r="D8" s="2"/>
      <c r="E8" s="2"/>
      <c r="F8" s="2"/>
      <c r="G8" s="2"/>
      <c r="H8" s="2"/>
      <c r="I8" s="14">
        <f t="shared" si="10"/>
        <v>43</v>
      </c>
      <c r="J8" s="3">
        <f t="shared" si="11"/>
        <v>4</v>
      </c>
      <c r="K8" s="13">
        <f t="shared" si="12"/>
        <v>6376.1153000000004</v>
      </c>
      <c r="L8" s="13">
        <f t="shared" si="19"/>
        <v>260.14550424000004</v>
      </c>
      <c r="M8" s="59">
        <v>50</v>
      </c>
      <c r="N8" s="13">
        <f t="shared" si="0"/>
        <v>1000000</v>
      </c>
      <c r="O8" s="30">
        <v>0.4</v>
      </c>
      <c r="P8" s="39">
        <f t="shared" si="1"/>
        <v>400</v>
      </c>
      <c r="Q8" s="39">
        <f t="shared" si="2"/>
        <v>10</v>
      </c>
      <c r="R8" s="30"/>
      <c r="S8" s="43">
        <f>VLOOKUP(I8,'Mortality Table Latest'!$A$3:$E$123,5,FALSE)*(1-$B$30)*1000</f>
        <v>2.1144750000000001</v>
      </c>
      <c r="T8">
        <v>6.2413279786892577E-3</v>
      </c>
      <c r="U8" s="37">
        <f t="shared" si="20"/>
        <v>0.97632736008015675</v>
      </c>
      <c r="V8" s="37">
        <f t="shared" si="13"/>
        <v>2.0644197947054894E-3</v>
      </c>
      <c r="W8" s="37">
        <f t="shared" si="14"/>
        <v>6.0935792688281039E-3</v>
      </c>
      <c r="X8" s="36">
        <f t="shared" si="21"/>
        <v>0.9681693610166231</v>
      </c>
      <c r="Y8" s="36"/>
      <c r="Z8" s="6">
        <f t="shared" si="15"/>
        <v>390.53094403206268</v>
      </c>
      <c r="AA8" s="6">
        <f t="shared" si="15"/>
        <v>9.7632736008015684</v>
      </c>
      <c r="AB8" s="6">
        <f t="shared" si="3"/>
        <v>387.26774440664923</v>
      </c>
      <c r="AC8" s="6">
        <f t="shared" si="4"/>
        <v>9.6816936101662314</v>
      </c>
      <c r="AD8" s="36"/>
      <c r="AE8" s="6">
        <f>$X8*K8</f>
        <v>6173.1594757693147</v>
      </c>
      <c r="AF8" s="6">
        <f t="shared" si="6"/>
        <v>-251.86490661138805</v>
      </c>
      <c r="AG8" s="6">
        <f t="shared" si="6"/>
        <v>-48.408468050831154</v>
      </c>
      <c r="AH8" s="6">
        <f t="shared" si="16"/>
        <v>-2064.4197947054895</v>
      </c>
      <c r="AI8" s="6">
        <f t="shared" si="17"/>
        <v>3808.4663064016054</v>
      </c>
      <c r="AJ8" s="6">
        <f t="shared" si="22"/>
        <v>3.2016273706204079</v>
      </c>
      <c r="AK8" s="6">
        <f t="shared" si="18"/>
        <v>187.75118696768649</v>
      </c>
      <c r="AL8" s="6">
        <f t="shared" si="7"/>
        <v>3999.4191207399122</v>
      </c>
      <c r="AM8" s="6">
        <f t="shared" si="8"/>
        <v>8.1579990635336941E-2</v>
      </c>
      <c r="AN8" s="6">
        <f t="shared" si="9"/>
        <v>3999.5007007305476</v>
      </c>
      <c r="AR8" s="126">
        <f t="shared" si="23"/>
        <v>2020</v>
      </c>
      <c r="AS8" s="23">
        <f>SUM($AH$5:AH8)</f>
        <v>-7412.1943928468572</v>
      </c>
      <c r="AT8" s="32">
        <f>INDEX('Term Smoker Mortality Exp'!$A$25:$U$45,MATCH('20 Year Smoker W Intervention'!AR8,'Term Smoker Mortality Exp'!$A$25:$A$45,0),MATCH('20 Year Smoker W Intervention'!$E$4,'Term Smoker Mortality Exp'!$A$25:$U$25,0))</f>
        <v>15</v>
      </c>
      <c r="AU8" s="23"/>
      <c r="AV8" s="32"/>
      <c r="AW8" s="32"/>
      <c r="AX8" s="23"/>
    </row>
    <row r="9" spans="1:51" x14ac:dyDescent="0.15">
      <c r="A9" s="15"/>
      <c r="B9" s="16" t="s">
        <v>50</v>
      </c>
      <c r="C9" s="16" t="s">
        <v>51</v>
      </c>
      <c r="D9" s="2"/>
      <c r="E9" s="2"/>
      <c r="F9" s="2"/>
      <c r="G9" s="2"/>
      <c r="H9" s="2"/>
      <c r="I9" s="14">
        <f t="shared" si="10"/>
        <v>44</v>
      </c>
      <c r="J9" s="3">
        <f t="shared" si="11"/>
        <v>5</v>
      </c>
      <c r="K9" s="13">
        <f t="shared" si="12"/>
        <v>6376.1153000000004</v>
      </c>
      <c r="L9" s="13">
        <f t="shared" si="19"/>
        <v>260.14550424000004</v>
      </c>
      <c r="M9" s="59">
        <v>50</v>
      </c>
      <c r="N9" s="13">
        <f>$E$11</f>
        <v>1000000</v>
      </c>
      <c r="O9" s="30">
        <v>0.4</v>
      </c>
      <c r="P9" s="39">
        <f t="shared" si="1"/>
        <v>400</v>
      </c>
      <c r="Q9" s="39">
        <f t="shared" si="2"/>
        <v>10</v>
      </c>
      <c r="R9" s="30"/>
      <c r="S9" s="43">
        <f>VLOOKUP(I9,'Mortality Table Latest'!$A$3:$E$123,5,FALSE)*(1-$B$30)*1000</f>
        <v>2.297625</v>
      </c>
      <c r="T9">
        <v>6.1437361948170907E-3</v>
      </c>
      <c r="U9" s="37">
        <f t="shared" si="20"/>
        <v>0.9681693610166231</v>
      </c>
      <c r="V9" s="37">
        <f t="shared" si="13"/>
        <v>2.2244901281058189E-3</v>
      </c>
      <c r="W9" s="37">
        <f t="shared" si="14"/>
        <v>5.9481771459907618E-3</v>
      </c>
      <c r="X9" s="36">
        <f t="shared" si="21"/>
        <v>0.9599966937425265</v>
      </c>
      <c r="Y9" s="36"/>
      <c r="Z9" s="6">
        <f t="shared" si="15"/>
        <v>387.26774440664923</v>
      </c>
      <c r="AA9" s="6">
        <f t="shared" si="15"/>
        <v>9.6816936101662314</v>
      </c>
      <c r="AB9" s="6">
        <f t="shared" si="3"/>
        <v>383.99867749701059</v>
      </c>
      <c r="AC9" s="6">
        <f t="shared" si="4"/>
        <v>9.5999669374252647</v>
      </c>
      <c r="AD9" s="36"/>
      <c r="AE9" s="6">
        <f>$X9*K9</f>
        <v>6121.0496069211376</v>
      </c>
      <c r="AF9" s="6">
        <f t="shared" si="6"/>
        <v>-249.73882396238244</v>
      </c>
      <c r="AG9" s="6">
        <f t="shared" si="6"/>
        <v>-47.999834687126324</v>
      </c>
      <c r="AH9" s="6">
        <f t="shared" si="16"/>
        <v>-2224.4901281058187</v>
      </c>
      <c r="AI9" s="6">
        <f t="shared" si="17"/>
        <v>3598.8208201658103</v>
      </c>
      <c r="AJ9" s="6">
        <f t="shared" si="22"/>
        <v>3.2631996254134932</v>
      </c>
      <c r="AK9" s="6">
        <f t="shared" si="18"/>
        <v>186.16732856297446</v>
      </c>
      <c r="AL9" s="6">
        <f t="shared" si="7"/>
        <v>3788.2513483541984</v>
      </c>
      <c r="AM9" s="6">
        <f t="shared" si="8"/>
        <v>8.1726672740966677E-2</v>
      </c>
      <c r="AN9" s="6">
        <f t="shared" si="9"/>
        <v>3788.3330750269392</v>
      </c>
      <c r="AR9" s="126">
        <f t="shared" si="23"/>
        <v>2019</v>
      </c>
      <c r="AS9" s="23">
        <f>SUM($AH$5:AH9)</f>
        <v>-9636.6845209526764</v>
      </c>
      <c r="AT9" s="32">
        <f>INDEX('Term Smoker Mortality Exp'!$A$25:$U$45,MATCH('20 Year Smoker W Intervention'!AR9,'Term Smoker Mortality Exp'!$A$25:$A$45,0),MATCH('20 Year Smoker W Intervention'!$E$4,'Term Smoker Mortality Exp'!$A$25:$U$25,0))</f>
        <v>4</v>
      </c>
      <c r="AU9" s="23"/>
      <c r="AV9" s="32"/>
      <c r="AW9" s="32"/>
      <c r="AX9" s="23"/>
    </row>
    <row r="10" spans="1:51" x14ac:dyDescent="0.15">
      <c r="A10" s="15"/>
      <c r="B10" s="16">
        <v>1</v>
      </c>
      <c r="C10" s="80">
        <v>7.0000000000000007E-2</v>
      </c>
      <c r="D10" s="2"/>
      <c r="E10" s="53" t="s">
        <v>52</v>
      </c>
      <c r="F10" s="20"/>
      <c r="G10" s="2"/>
      <c r="H10" s="2"/>
      <c r="I10" s="14">
        <f t="shared" si="10"/>
        <v>45</v>
      </c>
      <c r="J10" s="3">
        <f t="shared" si="11"/>
        <v>6</v>
      </c>
      <c r="K10" s="13">
        <f t="shared" si="12"/>
        <v>6376.1153000000004</v>
      </c>
      <c r="L10" s="13">
        <f t="shared" si="19"/>
        <v>260.14550424000004</v>
      </c>
      <c r="M10" s="59">
        <v>50</v>
      </c>
      <c r="N10" s="13">
        <f t="shared" si="0"/>
        <v>1000000</v>
      </c>
      <c r="O10" s="30">
        <v>0.4</v>
      </c>
      <c r="P10" s="39">
        <f t="shared" si="1"/>
        <v>400</v>
      </c>
      <c r="Q10" s="39">
        <f t="shared" si="2"/>
        <v>10</v>
      </c>
      <c r="R10" s="30"/>
      <c r="S10" s="43">
        <f>VLOOKUP(I10,'Mortality Table Latest'!$A$3:$E$123,5,FALSE)*(1-$B$30)*1000</f>
        <v>2.437875</v>
      </c>
      <c r="T10">
        <v>6.0950583441932923E-3</v>
      </c>
      <c r="U10" s="37">
        <f t="shared" si="20"/>
        <v>0.9599966937425265</v>
      </c>
      <c r="V10" s="37">
        <f t="shared" si="13"/>
        <v>2.3403519397575618E-3</v>
      </c>
      <c r="W10" s="37">
        <f t="shared" si="14"/>
        <v>5.8512358585933585E-3</v>
      </c>
      <c r="X10" s="36">
        <f t="shared" si="21"/>
        <v>0.95180510594417556</v>
      </c>
      <c r="Y10" s="36"/>
      <c r="Z10" s="6">
        <f t="shared" si="15"/>
        <v>383.99867749701059</v>
      </c>
      <c r="AA10" s="6">
        <f t="shared" si="15"/>
        <v>9.5999669374252647</v>
      </c>
      <c r="AB10" s="6">
        <f t="shared" si="3"/>
        <v>380.72204237767022</v>
      </c>
      <c r="AC10" s="6">
        <f t="shared" si="4"/>
        <v>9.5180510594417562</v>
      </c>
      <c r="AD10" s="36"/>
      <c r="AE10" s="6">
        <f t="shared" si="5"/>
        <v>6068.8190986287791</v>
      </c>
      <c r="AF10" s="6">
        <f t="shared" si="6"/>
        <v>-247.6078192240542</v>
      </c>
      <c r="AG10" s="6">
        <f t="shared" si="6"/>
        <v>-47.590255297208778</v>
      </c>
      <c r="AH10" s="6">
        <f t="shared" si="16"/>
        <v>-2340.3519397575619</v>
      </c>
      <c r="AI10" s="6">
        <f t="shared" si="17"/>
        <v>3433.2690843499549</v>
      </c>
      <c r="AJ10" s="6">
        <f t="shared" si="22"/>
        <v>3.2690669096386289</v>
      </c>
      <c r="AK10" s="6">
        <f t="shared" si="18"/>
        <v>184.5798547380231</v>
      </c>
      <c r="AL10" s="6">
        <f t="shared" si="7"/>
        <v>3621.1180059976168</v>
      </c>
      <c r="AM10" s="6">
        <f t="shared" si="8"/>
        <v>8.1915877983508523E-2</v>
      </c>
      <c r="AN10" s="6">
        <f t="shared" si="9"/>
        <v>3621.1999218756005</v>
      </c>
      <c r="AR10" s="126">
        <f t="shared" si="23"/>
        <v>2018</v>
      </c>
      <c r="AS10" s="23">
        <f>SUM($AH$5:AH10)</f>
        <v>-11977.036460710238</v>
      </c>
      <c r="AT10" s="32">
        <f>INDEX('Term Smoker Mortality Exp'!$A$25:$U$45,MATCH('20 Year Smoker W Intervention'!AR10,'Term Smoker Mortality Exp'!$A$25:$A$45,0),MATCH('20 Year Smoker W Intervention'!$E$4,'Term Smoker Mortality Exp'!$A$25:$U$25,0))</f>
        <v>9</v>
      </c>
      <c r="AU10" s="23"/>
      <c r="AV10" s="32"/>
      <c r="AW10" s="32"/>
      <c r="AX10" s="23"/>
    </row>
    <row r="11" spans="1:51" ht="39" customHeight="1" x14ac:dyDescent="0.15">
      <c r="A11" s="15"/>
      <c r="B11" s="17" t="s">
        <v>53</v>
      </c>
      <c r="C11" s="80">
        <v>0.06</v>
      </c>
      <c r="D11" s="2"/>
      <c r="E11" s="66">
        <f>VLOOKUP(E4,F56:K96,3,FALSE)</f>
        <v>1000000</v>
      </c>
      <c r="F11" s="20"/>
      <c r="G11" s="2"/>
      <c r="H11" s="2"/>
      <c r="I11" s="14">
        <f t="shared" si="10"/>
        <v>46</v>
      </c>
      <c r="J11" s="3">
        <f t="shared" si="11"/>
        <v>7</v>
      </c>
      <c r="K11" s="13">
        <f t="shared" si="12"/>
        <v>6376.1153000000004</v>
      </c>
      <c r="L11" s="13">
        <f t="shared" si="19"/>
        <v>260.14550424000004</v>
      </c>
      <c r="M11" s="59">
        <v>50</v>
      </c>
      <c r="N11" s="13">
        <f t="shared" si="0"/>
        <v>1000000</v>
      </c>
      <c r="O11" s="30">
        <v>0.3</v>
      </c>
      <c r="P11" s="39">
        <f t="shared" si="1"/>
        <v>300</v>
      </c>
      <c r="Q11" s="39">
        <f t="shared" si="2"/>
        <v>10</v>
      </c>
      <c r="R11" s="30"/>
      <c r="S11" s="43">
        <f>VLOOKUP(I11,'Mortality Table Latest'!$A$3:$E$123,5,FALSE)*(1-$B$30)*1000</f>
        <v>2.6911499999999999</v>
      </c>
      <c r="T11">
        <v>6.4144141795058167E-3</v>
      </c>
      <c r="U11" s="37">
        <f t="shared" si="20"/>
        <v>0.95180510594417556</v>
      </c>
      <c r="V11" s="37">
        <f t="shared" si="13"/>
        <v>2.5614503108616683E-3</v>
      </c>
      <c r="W11" s="37">
        <f t="shared" si="14"/>
        <v>6.1052721676943559E-3</v>
      </c>
      <c r="X11" s="36">
        <f t="shared" si="21"/>
        <v>0.94313838346561951</v>
      </c>
      <c r="Y11" s="36"/>
      <c r="Z11" s="6">
        <f t="shared" si="15"/>
        <v>380.72204237767022</v>
      </c>
      <c r="AA11" s="6">
        <f t="shared" si="15"/>
        <v>9.5180510594417562</v>
      </c>
      <c r="AB11" s="6">
        <f t="shared" si="3"/>
        <v>282.94151503968584</v>
      </c>
      <c r="AC11" s="6">
        <f t="shared" si="4"/>
        <v>9.4313838346561951</v>
      </c>
      <c r="AD11" s="36"/>
      <c r="AE11" s="6">
        <f t="shared" si="5"/>
        <v>6013.5590768324037</v>
      </c>
      <c r="AF11" s="6">
        <f t="shared" si="6"/>
        <v>-245.35321033476211</v>
      </c>
      <c r="AG11" s="6">
        <f t="shared" si="6"/>
        <v>-47.156919173280976</v>
      </c>
      <c r="AH11" s="6">
        <f t="shared" si="16"/>
        <v>-2561.4503108616682</v>
      </c>
      <c r="AI11" s="6">
        <f t="shared" si="17"/>
        <v>3159.5986364626924</v>
      </c>
      <c r="AJ11" s="6">
        <f t="shared" si="22"/>
        <v>98.457145713757967</v>
      </c>
      <c r="AK11" s="6">
        <f t="shared" si="18"/>
        <v>182.90584501006217</v>
      </c>
      <c r="AL11" s="6">
        <f>SUM(AI11:AK11)</f>
        <v>3440.9616271865125</v>
      </c>
      <c r="AM11" s="6">
        <f t="shared" si="8"/>
        <v>8.6667224785561103E-2</v>
      </c>
      <c r="AN11" s="6">
        <f t="shared" si="9"/>
        <v>3441.0482944112982</v>
      </c>
      <c r="AR11" s="126">
        <f t="shared" si="23"/>
        <v>2017</v>
      </c>
      <c r="AS11" s="23">
        <f>SUM($AH$5:AH11)</f>
        <v>-14538.486771571907</v>
      </c>
      <c r="AT11" s="32">
        <f>INDEX('Term Smoker Mortality Exp'!$A$25:$U$45,MATCH('20 Year Smoker W Intervention'!AR11,'Term Smoker Mortality Exp'!$A$25:$A$45,0),MATCH('20 Year Smoker W Intervention'!$E$4,'Term Smoker Mortality Exp'!$A$25:$U$25,0))</f>
        <v>6</v>
      </c>
      <c r="AU11" s="23"/>
      <c r="AV11" s="32"/>
      <c r="AW11" s="32"/>
      <c r="AX11" s="23"/>
    </row>
    <row r="12" spans="1:51" x14ac:dyDescent="0.15">
      <c r="A12" s="15"/>
      <c r="B12" s="17" t="s">
        <v>54</v>
      </c>
      <c r="C12" s="80">
        <v>0.05</v>
      </c>
      <c r="D12" s="2"/>
      <c r="E12" s="2"/>
      <c r="F12" s="2"/>
      <c r="G12" s="2"/>
      <c r="H12" s="2"/>
      <c r="I12" s="14">
        <f t="shared" si="10"/>
        <v>47</v>
      </c>
      <c r="J12" s="3">
        <f t="shared" si="11"/>
        <v>8</v>
      </c>
      <c r="K12" s="13">
        <f t="shared" si="12"/>
        <v>6376.1153000000004</v>
      </c>
      <c r="L12" s="13">
        <f t="shared" si="19"/>
        <v>260.14550424000004</v>
      </c>
      <c r="M12" s="59">
        <v>50</v>
      </c>
      <c r="N12" s="13">
        <f t="shared" si="0"/>
        <v>1000000</v>
      </c>
      <c r="O12" s="30">
        <v>0.2</v>
      </c>
      <c r="P12" s="39">
        <f t="shared" si="1"/>
        <v>200</v>
      </c>
      <c r="Q12" s="39">
        <f t="shared" si="2"/>
        <v>10</v>
      </c>
      <c r="R12" s="30"/>
      <c r="S12" s="43">
        <f>VLOOKUP(I12,'Mortality Table Latest'!$A$3:$E$123,5,FALSE)*(1-$B$30)*1000</f>
        <v>2.951025</v>
      </c>
      <c r="T12">
        <v>6.2142490304071402E-3</v>
      </c>
      <c r="U12" s="37">
        <f t="shared" si="20"/>
        <v>0.94313838346561951</v>
      </c>
      <c r="V12" s="37">
        <f t="shared" si="13"/>
        <v>2.7832249480666299E-3</v>
      </c>
      <c r="W12" s="37">
        <f t="shared" si="14"/>
        <v>5.8608967849909837E-3</v>
      </c>
      <c r="X12" s="36">
        <f t="shared" si="21"/>
        <v>0.93449426173256189</v>
      </c>
      <c r="Y12" s="36"/>
      <c r="Z12" s="6">
        <f t="shared" si="15"/>
        <v>282.94151503968584</v>
      </c>
      <c r="AA12" s="6">
        <f t="shared" si="15"/>
        <v>9.4313838346561951</v>
      </c>
      <c r="AB12" s="6">
        <f t="shared" si="3"/>
        <v>186.89885234651237</v>
      </c>
      <c r="AC12" s="6">
        <f t="shared" si="4"/>
        <v>9.3449426173256196</v>
      </c>
      <c r="AD12" s="36"/>
      <c r="AE12" s="6">
        <f t="shared" si="5"/>
        <v>5958.4431599951931</v>
      </c>
      <c r="AF12" s="6">
        <f t="shared" si="6"/>
        <v>-243.10448092780388</v>
      </c>
      <c r="AG12" s="6">
        <f t="shared" si="6"/>
        <v>-46.724713086628093</v>
      </c>
      <c r="AH12" s="6">
        <f t="shared" si="16"/>
        <v>-2783.2249480666301</v>
      </c>
      <c r="AI12" s="6">
        <f t="shared" si="17"/>
        <v>2885.3890179141313</v>
      </c>
      <c r="AJ12" s="6">
        <f t="shared" si="22"/>
        <v>96.913855090128735</v>
      </c>
      <c r="AK12" s="6">
        <f t="shared" si="18"/>
        <v>178.42903386486944</v>
      </c>
      <c r="AL12" s="6">
        <f t="shared" si="7"/>
        <v>3160.7319068691295</v>
      </c>
      <c r="AM12" s="6">
        <f t="shared" si="8"/>
        <v>8.6441217330575526E-2</v>
      </c>
      <c r="AN12" s="6">
        <f>AL12+AM12</f>
        <v>3160.81834808646</v>
      </c>
      <c r="AR12" s="126">
        <f t="shared" si="23"/>
        <v>2016</v>
      </c>
      <c r="AS12" s="23">
        <f>SUM($AH$5:AH12)</f>
        <v>-17321.711719638537</v>
      </c>
      <c r="AT12" s="32">
        <f>INDEX('Term Smoker Mortality Exp'!$A$25:$U$45,MATCH('20 Year Smoker W Intervention'!AR12,'Term Smoker Mortality Exp'!$A$25:$A$45,0),MATCH('20 Year Smoker W Intervention'!$E$4,'Term Smoker Mortality Exp'!$A$25:$U$25,0))</f>
        <v>8</v>
      </c>
      <c r="AU12" s="23"/>
      <c r="AV12" s="32"/>
      <c r="AW12" s="32"/>
      <c r="AX12" s="23"/>
    </row>
    <row r="13" spans="1:51" x14ac:dyDescent="0.15">
      <c r="A13" s="15"/>
      <c r="B13" s="16" t="s">
        <v>55</v>
      </c>
      <c r="C13" s="80">
        <v>0.04</v>
      </c>
      <c r="D13" s="2"/>
      <c r="E13" s="2"/>
      <c r="F13" s="2"/>
      <c r="G13" s="2"/>
      <c r="H13" s="2"/>
      <c r="I13" s="14">
        <f t="shared" si="10"/>
        <v>48</v>
      </c>
      <c r="J13" s="3">
        <f t="shared" si="11"/>
        <v>9</v>
      </c>
      <c r="K13" s="13">
        <f t="shared" si="12"/>
        <v>6376.1153000000004</v>
      </c>
      <c r="L13" s="13">
        <f t="shared" si="19"/>
        <v>260.14550424000004</v>
      </c>
      <c r="M13" s="59">
        <v>50</v>
      </c>
      <c r="N13" s="13">
        <f t="shared" si="0"/>
        <v>1000000</v>
      </c>
      <c r="O13" s="30">
        <v>0.1</v>
      </c>
      <c r="P13" s="39">
        <f t="shared" si="1"/>
        <v>100</v>
      </c>
      <c r="Q13" s="39">
        <f t="shared" si="2"/>
        <v>10</v>
      </c>
      <c r="R13" s="30"/>
      <c r="S13" s="43">
        <f>VLOOKUP(I13,'Mortality Table Latest'!$A$3:$E$123,5,FALSE)*(1-$B$30)*1000</f>
        <v>3.2257499999999997</v>
      </c>
      <c r="T13">
        <v>6.2409368032058377E-3</v>
      </c>
      <c r="U13" s="37">
        <f t="shared" si="20"/>
        <v>0.93449426173256189</v>
      </c>
      <c r="V13" s="37">
        <f>U13*S13/1000</f>
        <v>3.0144448647838112E-3</v>
      </c>
      <c r="W13" s="37">
        <f t="shared" si="14"/>
        <v>5.8321196304314139E-3</v>
      </c>
      <c r="X13" s="36">
        <f t="shared" si="21"/>
        <v>0.92564769723734663</v>
      </c>
      <c r="Y13" s="36"/>
      <c r="Z13" s="6">
        <f t="shared" si="15"/>
        <v>186.89885234651237</v>
      </c>
      <c r="AA13" s="6">
        <f t="shared" si="15"/>
        <v>9.3449426173256196</v>
      </c>
      <c r="AB13" s="6">
        <f t="shared" si="3"/>
        <v>92.564769723734656</v>
      </c>
      <c r="AC13" s="6">
        <f t="shared" si="4"/>
        <v>9.2564769723734663</v>
      </c>
      <c r="AD13" s="36"/>
      <c r="AE13" s="6">
        <f t="shared" si="5"/>
        <v>5902.0364447648144</v>
      </c>
      <c r="AF13" s="6">
        <f t="shared" si="6"/>
        <v>-240.80308694640442</v>
      </c>
      <c r="AG13" s="6">
        <f t="shared" si="6"/>
        <v>-46.282384861867328</v>
      </c>
      <c r="AH13" s="6">
        <f t="shared" si="16"/>
        <v>-3014.4448647838112</v>
      </c>
      <c r="AI13" s="6">
        <f t="shared" si="17"/>
        <v>2600.5061081727313</v>
      </c>
      <c r="AJ13" s="6">
        <f t="shared" si="22"/>
        <v>95.178250519867731</v>
      </c>
      <c r="AK13" s="6">
        <f t="shared" si="18"/>
        <v>173.96707143763277</v>
      </c>
      <c r="AL13" s="6">
        <f t="shared" si="7"/>
        <v>2869.6514301302318</v>
      </c>
      <c r="AM13" s="6">
        <f t="shared" si="8"/>
        <v>8.8465644952153255E-2</v>
      </c>
      <c r="AN13" s="6">
        <f t="shared" si="9"/>
        <v>2869.7398957751839</v>
      </c>
      <c r="AR13" s="126">
        <f t="shared" si="23"/>
        <v>2015</v>
      </c>
      <c r="AS13" s="23">
        <f>SUM($AH$5:AH13)</f>
        <v>-20336.156584422348</v>
      </c>
      <c r="AT13" s="32">
        <f>INDEX('Term Smoker Mortality Exp'!$A$25:$U$45,MATCH('20 Year Smoker W Intervention'!AR13,'Term Smoker Mortality Exp'!$A$25:$A$45,0),MATCH('20 Year Smoker W Intervention'!$E$4,'Term Smoker Mortality Exp'!$A$25:$U$25,0))</f>
        <v>5</v>
      </c>
      <c r="AU13" s="23"/>
      <c r="AV13" s="32"/>
      <c r="AW13" s="32"/>
      <c r="AX13" s="23"/>
      <c r="AY13" s="34"/>
    </row>
    <row r="14" spans="1:51" x14ac:dyDescent="0.15">
      <c r="A14" s="19" t="s">
        <v>56</v>
      </c>
      <c r="B14" s="20"/>
      <c r="C14" s="79"/>
      <c r="D14" s="2"/>
      <c r="E14" s="81" t="s">
        <v>57</v>
      </c>
      <c r="F14" s="16"/>
      <c r="G14" s="16"/>
      <c r="H14" s="22">
        <v>0.01</v>
      </c>
      <c r="I14" s="14">
        <f t="shared" si="10"/>
        <v>49</v>
      </c>
      <c r="J14" s="3">
        <f t="shared" si="11"/>
        <v>10</v>
      </c>
      <c r="K14" s="13">
        <f t="shared" si="12"/>
        <v>6376.1153000000004</v>
      </c>
      <c r="L14" s="13">
        <f t="shared" si="19"/>
        <v>260.14550424000004</v>
      </c>
      <c r="M14" s="59">
        <v>50</v>
      </c>
      <c r="N14" s="13">
        <f t="shared" si="0"/>
        <v>1000000</v>
      </c>
      <c r="O14" s="30">
        <v>0.1</v>
      </c>
      <c r="P14" s="39">
        <f t="shared" si="1"/>
        <v>100</v>
      </c>
      <c r="Q14" s="39">
        <f t="shared" si="2"/>
        <v>10</v>
      </c>
      <c r="R14" s="30"/>
      <c r="S14" s="43">
        <f>VLOOKUP(I14,'Mortality Table Latest'!$A$3:$E$123,5,FALSE)*(1-$B$30)*1000</f>
        <v>3.526875</v>
      </c>
      <c r="T14">
        <v>6.3516835916622126E-3</v>
      </c>
      <c r="U14" s="37">
        <f t="shared" si="20"/>
        <v>0.92564769723734663</v>
      </c>
      <c r="V14" s="37">
        <f t="shared" si="13"/>
        <v>3.2646437221939668E-3</v>
      </c>
      <c r="W14" s="37">
        <f t="shared" si="14"/>
        <v>5.8794212902023666E-3</v>
      </c>
      <c r="X14" s="36">
        <f t="shared" si="21"/>
        <v>0.91650363222495035</v>
      </c>
      <c r="Y14" s="36"/>
      <c r="Z14" s="6">
        <f t="shared" si="15"/>
        <v>92.564769723734656</v>
      </c>
      <c r="AA14" s="6">
        <f t="shared" si="15"/>
        <v>9.2564769723734663</v>
      </c>
      <c r="AB14" s="6">
        <f t="shared" si="3"/>
        <v>91.650363222495031</v>
      </c>
      <c r="AC14" s="6">
        <f t="shared" si="4"/>
        <v>9.1650363222495042</v>
      </c>
      <c r="AD14" s="36"/>
      <c r="AE14" s="6">
        <f t="shared" si="5"/>
        <v>5843.732831935079</v>
      </c>
      <c r="AF14" s="6">
        <f t="shared" si="6"/>
        <v>-238.42429954295125</v>
      </c>
      <c r="AG14" s="6">
        <f t="shared" si="6"/>
        <v>-45.825181611247515</v>
      </c>
      <c r="AH14" s="6">
        <f t="shared" si="16"/>
        <v>-3264.6437221939668</v>
      </c>
      <c r="AI14" s="6">
        <f>SUM(AE14:AH14)</f>
        <v>2294.839628586913</v>
      </c>
      <c r="AJ14" s="6">
        <f t="shared" si="22"/>
        <v>0.88465644952151479</v>
      </c>
      <c r="AK14" s="6">
        <f t="shared" si="18"/>
        <v>169.50175443892059</v>
      </c>
      <c r="AL14" s="6">
        <f t="shared" si="7"/>
        <v>2465.2260394753553</v>
      </c>
      <c r="AM14" s="6">
        <f t="shared" si="8"/>
        <v>9.1440650123962186E-2</v>
      </c>
      <c r="AN14" s="6">
        <f t="shared" si="9"/>
        <v>2465.3174801254791</v>
      </c>
      <c r="AP14" s="13"/>
      <c r="AR14" s="126">
        <f t="shared" si="23"/>
        <v>2014</v>
      </c>
      <c r="AS14" s="23">
        <f>SUM($AH$5:AH14)</f>
        <v>-23600.800306616315</v>
      </c>
      <c r="AT14" s="32">
        <f>INDEX('Term Smoker Mortality Exp'!$A$25:$U$45,MATCH('20 Year Smoker W Intervention'!AR14,'Term Smoker Mortality Exp'!$A$25:$A$45,0),MATCH('20 Year Smoker W Intervention'!$E$4,'Term Smoker Mortality Exp'!$A$25:$U$25,0))</f>
        <v>12</v>
      </c>
      <c r="AU14" s="23"/>
      <c r="AV14" s="32"/>
      <c r="AW14" s="32"/>
      <c r="AX14" s="23"/>
    </row>
    <row r="15" spans="1:51" x14ac:dyDescent="0.15">
      <c r="A15" s="19"/>
      <c r="B15" s="20" t="s">
        <v>50</v>
      </c>
      <c r="C15" s="20" t="s">
        <v>51</v>
      </c>
      <c r="D15" s="2"/>
      <c r="E15" s="2"/>
      <c r="F15" s="2"/>
      <c r="G15" s="2"/>
      <c r="H15" s="2"/>
      <c r="I15" s="14">
        <f t="shared" si="10"/>
        <v>50</v>
      </c>
      <c r="J15" s="3">
        <f t="shared" si="11"/>
        <v>11</v>
      </c>
      <c r="K15" s="13">
        <f t="shared" si="12"/>
        <v>6376.1153000000004</v>
      </c>
      <c r="L15" s="13">
        <f t="shared" si="19"/>
        <v>260.14550424000004</v>
      </c>
      <c r="M15" s="59">
        <v>50</v>
      </c>
      <c r="N15" s="13">
        <f t="shared" si="0"/>
        <v>1000000</v>
      </c>
      <c r="O15" s="30">
        <v>0.1</v>
      </c>
      <c r="P15" s="39">
        <f t="shared" si="1"/>
        <v>100</v>
      </c>
      <c r="Q15" s="39">
        <f t="shared" si="2"/>
        <v>10</v>
      </c>
      <c r="R15" s="35"/>
      <c r="S15" s="43">
        <f>VLOOKUP(I15,'Mortality Table Latest'!$A$3:$E$123,5,FALSE)*(1-$B$30)*1000</f>
        <v>3.8502749999999999</v>
      </c>
      <c r="T15">
        <v>6.1751981070953072E-3</v>
      </c>
      <c r="U15" s="37">
        <f t="shared" si="20"/>
        <v>0.91650363222495035</v>
      </c>
      <c r="V15" s="37">
        <f t="shared" si="13"/>
        <v>3.5287910225649207E-3</v>
      </c>
      <c r="W15" s="37">
        <f t="shared" si="14"/>
        <v>5.6595914948614871E-3</v>
      </c>
      <c r="X15" s="36">
        <f t="shared" si="21"/>
        <v>0.90731524970752397</v>
      </c>
      <c r="Y15" s="35"/>
      <c r="Z15" s="6">
        <f t="shared" si="15"/>
        <v>91.650363222495031</v>
      </c>
      <c r="AA15" s="6">
        <f t="shared" si="15"/>
        <v>9.1650363222495042</v>
      </c>
      <c r="AB15" s="6">
        <f t="shared" si="3"/>
        <v>90.731524970752403</v>
      </c>
      <c r="AC15" s="6">
        <f t="shared" si="4"/>
        <v>9.07315249707524</v>
      </c>
      <c r="AD15" s="35"/>
      <c r="AE15" s="6">
        <f t="shared" si="5"/>
        <v>5785.1466455834643</v>
      </c>
      <c r="AF15" s="6">
        <f t="shared" si="6"/>
        <v>-236.03398313980537</v>
      </c>
      <c r="AG15" s="6">
        <f t="shared" si="6"/>
        <v>-45.365762485376202</v>
      </c>
      <c r="AH15" s="6">
        <f t="shared" si="16"/>
        <v>-3528.7910225649207</v>
      </c>
      <c r="AI15" s="6">
        <f t="shared" ref="AI15:AI24" si="24">SUM(AE15:AH15)</f>
        <v>1974.9558773933627</v>
      </c>
      <c r="AJ15" s="6">
        <f t="shared" si="22"/>
        <v>0.91440650123963962</v>
      </c>
      <c r="AK15" s="6">
        <f t="shared" si="18"/>
        <v>167.80286344105559</v>
      </c>
      <c r="AL15" s="6">
        <f t="shared" ref="AL15:AL24" si="25">SUM(AI15:AK15)</f>
        <v>2143.6731473356581</v>
      </c>
      <c r="AM15" s="6">
        <f t="shared" si="8"/>
        <v>9.1883825174264189E-2</v>
      </c>
      <c r="AN15" s="6">
        <f t="shared" si="9"/>
        <v>2143.7650311608322</v>
      </c>
      <c r="AR15" s="126">
        <f t="shared" si="23"/>
        <v>2013</v>
      </c>
      <c r="AS15" s="23">
        <f>SUM($AH$5:AH15)</f>
        <v>-27129.591329181236</v>
      </c>
      <c r="AT15" s="32">
        <f>INDEX('Term Smoker Mortality Exp'!$A$25:$U$45,MATCH('20 Year Smoker W Intervention'!AR15,'Term Smoker Mortality Exp'!$A$25:$A$45,0),MATCH('20 Year Smoker W Intervention'!$E$4,'Term Smoker Mortality Exp'!$A$25:$U$25,0))</f>
        <v>7</v>
      </c>
      <c r="AU15" s="23"/>
      <c r="AV15" s="32"/>
      <c r="AW15" s="32"/>
      <c r="AX15" s="23"/>
    </row>
    <row r="16" spans="1:51" x14ac:dyDescent="0.15">
      <c r="A16" s="19"/>
      <c r="B16" s="20">
        <v>1</v>
      </c>
      <c r="C16" s="85">
        <f>70%*E21</f>
        <v>0.28559999999999997</v>
      </c>
      <c r="D16" s="2" t="s">
        <v>58</v>
      </c>
      <c r="E16" s="2"/>
      <c r="F16" s="2"/>
      <c r="G16" s="5"/>
      <c r="H16" s="2"/>
      <c r="I16" s="14">
        <f t="shared" si="10"/>
        <v>51</v>
      </c>
      <c r="J16" s="3">
        <f t="shared" si="11"/>
        <v>12</v>
      </c>
      <c r="K16" s="13">
        <f t="shared" si="12"/>
        <v>6376.1153000000004</v>
      </c>
      <c r="L16" s="13">
        <f t="shared" si="19"/>
        <v>260.14550424000004</v>
      </c>
      <c r="M16" s="59">
        <v>50</v>
      </c>
      <c r="N16" s="13">
        <f t="shared" si="0"/>
        <v>1000000</v>
      </c>
      <c r="O16" s="30">
        <v>0.1</v>
      </c>
      <c r="P16" s="39">
        <f t="shared" si="1"/>
        <v>100</v>
      </c>
      <c r="Q16" s="39">
        <f t="shared" si="2"/>
        <v>10</v>
      </c>
      <c r="R16" s="35"/>
      <c r="S16" s="43">
        <f>VLOOKUP(I16,'Mortality Table Latest'!$A$3:$E$123,5,FALSE)*(1-$B$30)*1000</f>
        <v>4.2223499999999996</v>
      </c>
      <c r="T16">
        <v>6.1946313195230798E-3</v>
      </c>
      <c r="U16" s="37">
        <f t="shared" si="20"/>
        <v>0.90731524970752397</v>
      </c>
      <c r="V16" s="37">
        <f t="shared" si="13"/>
        <v>3.8310025446025632E-3</v>
      </c>
      <c r="W16" s="37">
        <f t="shared" si="14"/>
        <v>5.6204834625191323E-3</v>
      </c>
      <c r="X16" s="36">
        <f t="shared" si="21"/>
        <v>0.89786376370040233</v>
      </c>
      <c r="Y16" s="35"/>
      <c r="Z16" s="6">
        <f>AB15</f>
        <v>90.731524970752403</v>
      </c>
      <c r="AA16" s="6">
        <f t="shared" si="15"/>
        <v>9.07315249707524</v>
      </c>
      <c r="AB16" s="6">
        <f t="shared" si="3"/>
        <v>89.78637637004023</v>
      </c>
      <c r="AC16" s="6">
        <f t="shared" si="4"/>
        <v>8.9786376370040237</v>
      </c>
      <c r="AD16" s="24"/>
      <c r="AE16" s="6">
        <f t="shared" si="5"/>
        <v>5724.8828810457198</v>
      </c>
      <c r="AF16" s="6">
        <f t="shared" si="6"/>
        <v>-233.5752215466654</v>
      </c>
      <c r="AG16" s="6">
        <f t="shared" si="6"/>
        <v>-44.893188185020115</v>
      </c>
      <c r="AH16" s="6">
        <f t="shared" si="16"/>
        <v>-3831.0025446025634</v>
      </c>
      <c r="AI16" s="6">
        <f t="shared" si="24"/>
        <v>1615.4119267114706</v>
      </c>
      <c r="AJ16" s="6">
        <f t="shared" si="22"/>
        <v>0.9188382517426319</v>
      </c>
      <c r="AK16" s="6">
        <f t="shared" si="18"/>
        <v>166.05603640791639</v>
      </c>
      <c r="AL16" s="6">
        <f t="shared" si="25"/>
        <v>1782.3868013711299</v>
      </c>
      <c r="AM16" s="6">
        <f t="shared" si="8"/>
        <v>9.4514860071216233E-2</v>
      </c>
      <c r="AN16" s="6">
        <f t="shared" si="9"/>
        <v>1782.4813162312012</v>
      </c>
      <c r="AR16" s="126">
        <f t="shared" si="23"/>
        <v>2012</v>
      </c>
      <c r="AS16" s="23">
        <f>SUM($AH$5:AH16)</f>
        <v>-30960.593873783801</v>
      </c>
      <c r="AT16" s="32">
        <f>INDEX('Term Smoker Mortality Exp'!$A$25:$U$45,MATCH('20 Year Smoker W Intervention'!AR16,'Term Smoker Mortality Exp'!$A$25:$A$45,0),MATCH('20 Year Smoker W Intervention'!$E$4,'Term Smoker Mortality Exp'!$A$25:$U$25,0))</f>
        <v>8</v>
      </c>
      <c r="AU16" s="23"/>
      <c r="AV16" s="32"/>
      <c r="AW16" s="32"/>
      <c r="AX16" s="23"/>
    </row>
    <row r="17" spans="1:50" x14ac:dyDescent="0.15">
      <c r="A17" s="19"/>
      <c r="B17" s="21" t="s">
        <v>59</v>
      </c>
      <c r="C17" s="85">
        <f>10%*E21</f>
        <v>4.0800000000000003E-2</v>
      </c>
      <c r="D17" s="2" t="s">
        <v>60</v>
      </c>
      <c r="E17" s="2"/>
      <c r="F17" s="2"/>
      <c r="G17" s="5"/>
      <c r="H17" s="2"/>
      <c r="I17" s="14">
        <f t="shared" si="10"/>
        <v>52</v>
      </c>
      <c r="J17" s="3">
        <f t="shared" si="11"/>
        <v>13</v>
      </c>
      <c r="K17" s="13">
        <f t="shared" si="12"/>
        <v>6376.1153000000004</v>
      </c>
      <c r="L17" s="13">
        <f t="shared" si="19"/>
        <v>260.14550424000004</v>
      </c>
      <c r="M17" s="59">
        <v>50</v>
      </c>
      <c r="N17" s="13">
        <f t="shared" si="0"/>
        <v>1000000</v>
      </c>
      <c r="O17" s="30">
        <v>0.1</v>
      </c>
      <c r="P17" s="39">
        <f t="shared" si="1"/>
        <v>100</v>
      </c>
      <c r="Q17" s="39">
        <f t="shared" si="2"/>
        <v>10</v>
      </c>
      <c r="R17" s="35"/>
      <c r="S17" s="43">
        <f>VLOOKUP(I17,'Mortality Table Latest'!$A$3:$E$123,5,FALSE)*(1-$B$30)*1000</f>
        <v>7.7582999999999993</v>
      </c>
      <c r="T17">
        <v>6.0987029306397147E-3</v>
      </c>
      <c r="U17" s="37">
        <f t="shared" si="20"/>
        <v>0.89786376370040233</v>
      </c>
      <c r="V17" s="37">
        <f t="shared" si="13"/>
        <v>6.9658964379168305E-3</v>
      </c>
      <c r="W17" s="37">
        <f t="shared" si="14"/>
        <v>5.4758043669948476E-3</v>
      </c>
      <c r="X17" s="36">
        <f t="shared" si="21"/>
        <v>0.88542206289549064</v>
      </c>
      <c r="Y17" s="35"/>
      <c r="Z17" s="6">
        <f t="shared" si="15"/>
        <v>89.78637637004023</v>
      </c>
      <c r="AA17" s="6">
        <f t="shared" si="15"/>
        <v>8.9786376370040237</v>
      </c>
      <c r="AB17" s="6">
        <f t="shared" si="3"/>
        <v>88.542206289549057</v>
      </c>
      <c r="AC17" s="6">
        <f t="shared" si="4"/>
        <v>8.8542206289549057</v>
      </c>
      <c r="AD17" s="25"/>
      <c r="AE17" s="6">
        <f t="shared" si="5"/>
        <v>5645.5531621855007</v>
      </c>
      <c r="AF17" s="6">
        <f t="shared" si="6"/>
        <v>-230.33856901716842</v>
      </c>
      <c r="AG17" s="6">
        <f t="shared" si="6"/>
        <v>-44.271103144774528</v>
      </c>
      <c r="AH17" s="6">
        <f t="shared" si="16"/>
        <v>-6965.8964379168301</v>
      </c>
      <c r="AI17" s="6">
        <f t="shared" si="24"/>
        <v>-1594.9529478932718</v>
      </c>
      <c r="AJ17" s="6">
        <f t="shared" si="22"/>
        <v>0.94514860071216733</v>
      </c>
      <c r="AK17" s="6">
        <f t="shared" si="18"/>
        <v>163.7651943331087</v>
      </c>
      <c r="AL17" s="6">
        <f t="shared" si="25"/>
        <v>-1430.242604959451</v>
      </c>
      <c r="AM17" s="6">
        <f t="shared" si="8"/>
        <v>0.12441700804911804</v>
      </c>
      <c r="AN17" s="6">
        <f t="shared" si="9"/>
        <v>-1430.118187951402</v>
      </c>
      <c r="AR17" s="126">
        <f t="shared" si="23"/>
        <v>2011</v>
      </c>
      <c r="AS17" s="23">
        <f>SUM($AH$5:AH17)</f>
        <v>-37926.490311700632</v>
      </c>
      <c r="AT17" s="32">
        <f>INDEX('Term Smoker Mortality Exp'!$A$25:$U$45,MATCH('20 Year Smoker W Intervention'!AR17,'Term Smoker Mortality Exp'!$A$25:$A$45,0),MATCH('20 Year Smoker W Intervention'!$E$4,'Term Smoker Mortality Exp'!$A$25:$U$25,0))</f>
        <v>12</v>
      </c>
      <c r="AU17" s="23"/>
      <c r="AV17" s="32"/>
      <c r="AW17" s="32"/>
      <c r="AX17" s="23"/>
    </row>
    <row r="18" spans="1:50" x14ac:dyDescent="0.15">
      <c r="A18" s="15" t="s">
        <v>61</v>
      </c>
      <c r="B18" s="17"/>
      <c r="C18" s="4"/>
      <c r="D18" s="2"/>
      <c r="E18" s="2"/>
      <c r="F18" s="2"/>
      <c r="G18" s="2"/>
      <c r="H18" s="2"/>
      <c r="I18" s="14">
        <f t="shared" si="10"/>
        <v>53</v>
      </c>
      <c r="J18" s="3">
        <f t="shared" si="11"/>
        <v>14</v>
      </c>
      <c r="K18" s="13">
        <f t="shared" si="12"/>
        <v>6376.1153000000004</v>
      </c>
      <c r="L18" s="13">
        <f t="shared" si="19"/>
        <v>260.14550424000004</v>
      </c>
      <c r="M18" s="59">
        <v>50</v>
      </c>
      <c r="N18" s="13">
        <f t="shared" si="0"/>
        <v>1000000</v>
      </c>
      <c r="O18" s="30">
        <v>0.1</v>
      </c>
      <c r="P18" s="39">
        <f t="shared" si="1"/>
        <v>100</v>
      </c>
      <c r="Q18" s="39">
        <f t="shared" si="2"/>
        <v>10</v>
      </c>
      <c r="R18" s="35"/>
      <c r="S18" s="43">
        <f>VLOOKUP(I18,'Mortality Table Latest'!$A$3:$E$123,5,FALSE)*(1-$B$30)*1000</f>
        <v>8.539575000000001</v>
      </c>
      <c r="T18">
        <v>6.130532116411228E-3</v>
      </c>
      <c r="U18" s="37">
        <f t="shared" si="20"/>
        <v>0.88542206289549064</v>
      </c>
      <c r="V18" s="37">
        <f t="shared" si="13"/>
        <v>7.5611281127507595E-3</v>
      </c>
      <c r="W18" s="37">
        <f t="shared" si="14"/>
        <v>5.4281083931598875E-3</v>
      </c>
      <c r="X18" s="36">
        <f t="shared" si="21"/>
        <v>0.87243282638957997</v>
      </c>
      <c r="Y18" s="35"/>
      <c r="Z18" s="6">
        <f t="shared" si="15"/>
        <v>88.542206289549057</v>
      </c>
      <c r="AA18" s="6">
        <f t="shared" si="15"/>
        <v>8.8542206289549057</v>
      </c>
      <c r="AB18" s="6">
        <f t="shared" si="3"/>
        <v>87.243282638957993</v>
      </c>
      <c r="AC18" s="6">
        <f t="shared" si="4"/>
        <v>8.7243282638957993</v>
      </c>
      <c r="AD18" s="24"/>
      <c r="AE18" s="6">
        <f t="shared" si="5"/>
        <v>5562.732292564845</v>
      </c>
      <c r="AF18" s="6">
        <f t="shared" si="6"/>
        <v>-226.95947753664569</v>
      </c>
      <c r="AG18" s="6">
        <f t="shared" si="6"/>
        <v>-43.621641319478996</v>
      </c>
      <c r="AH18" s="6">
        <f t="shared" si="16"/>
        <v>-7561.1281127507591</v>
      </c>
      <c r="AI18" s="6">
        <f t="shared" si="24"/>
        <v>-2268.9769390420388</v>
      </c>
      <c r="AJ18" s="6">
        <f t="shared" si="22"/>
        <v>1.2441700804911719</v>
      </c>
      <c r="AK18" s="6">
        <f t="shared" si="18"/>
        <v>161.36512648581709</v>
      </c>
      <c r="AL18" s="6">
        <f t="shared" si="25"/>
        <v>-2106.3676424757305</v>
      </c>
      <c r="AM18" s="6">
        <f t="shared" si="8"/>
        <v>0.1298923650591064</v>
      </c>
      <c r="AN18" s="6">
        <f t="shared" si="9"/>
        <v>-2106.2377501106712</v>
      </c>
      <c r="AR18" s="126">
        <f t="shared" si="23"/>
        <v>2010</v>
      </c>
      <c r="AS18" s="23">
        <f>SUM($AH$5:AH18)</f>
        <v>-45487.618424451393</v>
      </c>
      <c r="AT18" s="32">
        <f>INDEX('Term Smoker Mortality Exp'!$A$25:$U$45,MATCH('20 Year Smoker W Intervention'!AR18,'Term Smoker Mortality Exp'!$A$25:$A$45,0),MATCH('20 Year Smoker W Intervention'!$E$4,'Term Smoker Mortality Exp'!$A$25:$U$25,0))</f>
        <v>7</v>
      </c>
      <c r="AU18" s="23"/>
      <c r="AV18" s="32"/>
      <c r="AW18" s="32"/>
      <c r="AX18" s="23"/>
    </row>
    <row r="19" spans="1:50" x14ac:dyDescent="0.15">
      <c r="A19" s="15"/>
      <c r="B19" s="16" t="s">
        <v>50</v>
      </c>
      <c r="C19" s="16" t="s">
        <v>51</v>
      </c>
      <c r="D19" s="2"/>
      <c r="E19" s="2"/>
      <c r="F19" s="2"/>
      <c r="G19" s="5"/>
      <c r="H19" s="5"/>
      <c r="I19" s="14">
        <f t="shared" si="10"/>
        <v>54</v>
      </c>
      <c r="J19" s="3">
        <f t="shared" si="11"/>
        <v>15</v>
      </c>
      <c r="K19" s="13">
        <f t="shared" si="12"/>
        <v>6376.1153000000004</v>
      </c>
      <c r="L19" s="13">
        <f t="shared" si="19"/>
        <v>260.14550424000004</v>
      </c>
      <c r="M19" s="59">
        <v>50</v>
      </c>
      <c r="N19" s="13">
        <f t="shared" si="0"/>
        <v>1000000</v>
      </c>
      <c r="O19" s="30">
        <v>0.1</v>
      </c>
      <c r="P19" s="39">
        <f t="shared" si="1"/>
        <v>100</v>
      </c>
      <c r="Q19" s="39">
        <f t="shared" si="2"/>
        <v>10</v>
      </c>
      <c r="R19" s="35"/>
      <c r="S19" s="43">
        <f>VLOOKUP(I19,'Mortality Table Latest'!$A$3:$E$123,5,FALSE)*(1-$B$30)*1000</f>
        <v>9.4289249999999996</v>
      </c>
      <c r="T19">
        <v>6.2156755918412795E-3</v>
      </c>
      <c r="U19" s="37">
        <f t="shared" si="20"/>
        <v>0.87243282638957997</v>
      </c>
      <c r="V19" s="37">
        <f t="shared" si="13"/>
        <v>8.2261036875653695E-3</v>
      </c>
      <c r="W19" s="37">
        <f t="shared" si="14"/>
        <v>5.4227594245108129E-3</v>
      </c>
      <c r="X19" s="36">
        <f t="shared" si="21"/>
        <v>0.85878396327750384</v>
      </c>
      <c r="Y19" s="35"/>
      <c r="Z19" s="6">
        <f t="shared" si="15"/>
        <v>87.243282638957993</v>
      </c>
      <c r="AA19" s="6">
        <f t="shared" si="15"/>
        <v>8.7243282638957993</v>
      </c>
      <c r="AB19" s="6">
        <f t="shared" si="3"/>
        <v>85.87839632775038</v>
      </c>
      <c r="AC19" s="6">
        <f t="shared" si="4"/>
        <v>8.5878396327750384</v>
      </c>
      <c r="AE19" s="6">
        <f t="shared" si="5"/>
        <v>5475.7055676483305</v>
      </c>
      <c r="AF19" s="6">
        <f t="shared" si="6"/>
        <v>-223.4087871600519</v>
      </c>
      <c r="AG19" s="6">
        <f t="shared" si="6"/>
        <v>-42.93919816387519</v>
      </c>
      <c r="AH19" s="6">
        <f t="shared" si="16"/>
        <v>-8226.1036875653699</v>
      </c>
      <c r="AI19" s="6">
        <f t="shared" si="24"/>
        <v>-3016.7461052409672</v>
      </c>
      <c r="AJ19" s="6">
        <f t="shared" si="22"/>
        <v>1.2989236505910606</v>
      </c>
      <c r="AK19" s="6">
        <f t="shared" si="18"/>
        <v>158.84345242431664</v>
      </c>
      <c r="AL19" s="6">
        <f t="shared" si="25"/>
        <v>-2856.6037291660596</v>
      </c>
      <c r="AM19" s="6">
        <f t="shared" si="8"/>
        <v>0.13648863112076093</v>
      </c>
      <c r="AN19" s="6">
        <f t="shared" si="9"/>
        <v>-2856.4672405349388</v>
      </c>
      <c r="AR19" s="126">
        <f t="shared" si="23"/>
        <v>2009</v>
      </c>
      <c r="AS19" s="23">
        <f>SUM($AH$5:AH19)</f>
        <v>-53713.722112016767</v>
      </c>
      <c r="AT19" s="32">
        <f>INDEX('Term Smoker Mortality Exp'!$A$25:$U$45,MATCH('20 Year Smoker W Intervention'!AR19,'Term Smoker Mortality Exp'!$A$25:$A$45,0),MATCH('20 Year Smoker W Intervention'!$E$4,'Term Smoker Mortality Exp'!$A$25:$U$25,0))</f>
        <v>3</v>
      </c>
      <c r="AU19" s="23"/>
      <c r="AV19" s="32"/>
      <c r="AW19" s="32"/>
      <c r="AX19" s="23"/>
    </row>
    <row r="20" spans="1:50" x14ac:dyDescent="0.15">
      <c r="A20" s="15"/>
      <c r="B20" s="16">
        <v>1</v>
      </c>
      <c r="C20" s="12">
        <v>100</v>
      </c>
      <c r="D20" s="2"/>
      <c r="E20" s="2"/>
      <c r="F20" s="2"/>
      <c r="G20" s="2"/>
      <c r="H20" s="2"/>
      <c r="I20" s="14">
        <f t="shared" si="10"/>
        <v>55</v>
      </c>
      <c r="J20" s="3">
        <f t="shared" si="11"/>
        <v>16</v>
      </c>
      <c r="K20" s="13">
        <f t="shared" si="12"/>
        <v>6376.1153000000004</v>
      </c>
      <c r="L20" s="13">
        <f t="shared" si="19"/>
        <v>260.14550424000004</v>
      </c>
      <c r="M20" s="59">
        <v>50</v>
      </c>
      <c r="N20" s="13">
        <f t="shared" si="0"/>
        <v>1000000</v>
      </c>
      <c r="O20" s="30">
        <v>0.1</v>
      </c>
      <c r="P20" s="39">
        <f t="shared" si="1"/>
        <v>100</v>
      </c>
      <c r="Q20" s="39">
        <f t="shared" si="2"/>
        <v>10</v>
      </c>
      <c r="R20" s="35"/>
      <c r="S20" s="43">
        <f>VLOOKUP(I20,'Mortality Table Latest'!$A$3:$E$123,5,FALSE)*(1-$B$30)*1000</f>
        <v>10.436249999999999</v>
      </c>
      <c r="T20">
        <v>6.0689333954354911E-3</v>
      </c>
      <c r="U20" s="37">
        <f t="shared" si="20"/>
        <v>0.85878396327750384</v>
      </c>
      <c r="V20" s="37">
        <f t="shared" si="13"/>
        <v>8.9624841367548485E-3</v>
      </c>
      <c r="W20" s="37">
        <f t="shared" si="14"/>
        <v>5.2119026741992893E-3</v>
      </c>
      <c r="X20" s="36">
        <f t="shared" si="21"/>
        <v>0.84460957646654966</v>
      </c>
      <c r="Y20" s="35"/>
      <c r="Z20" s="6">
        <f t="shared" si="15"/>
        <v>85.87839632775038</v>
      </c>
      <c r="AA20" s="6">
        <f t="shared" si="15"/>
        <v>8.5878396327750384</v>
      </c>
      <c r="AB20" s="6">
        <f t="shared" si="3"/>
        <v>84.460957646654961</v>
      </c>
      <c r="AC20" s="6">
        <f t="shared" si="4"/>
        <v>8.4460957646654968</v>
      </c>
      <c r="AD20" s="24"/>
      <c r="AE20" s="6">
        <f t="shared" si="5"/>
        <v>5385.3280430348877</v>
      </c>
      <c r="AF20" s="6">
        <f t="shared" si="6"/>
        <v>-219.72138415582344</v>
      </c>
      <c r="AG20" s="6">
        <f t="shared" si="6"/>
        <v>-42.230478823327481</v>
      </c>
      <c r="AH20" s="6">
        <f t="shared" si="16"/>
        <v>-8962.4841367548488</v>
      </c>
      <c r="AI20" s="6">
        <f t="shared" si="24"/>
        <v>-3839.107956699112</v>
      </c>
      <c r="AJ20" s="6">
        <f t="shared" si="22"/>
        <v>1.3648863112076111</v>
      </c>
      <c r="AK20" s="6">
        <f t="shared" si="18"/>
        <v>156.22416497673584</v>
      </c>
      <c r="AL20" s="6">
        <f t="shared" si="25"/>
        <v>-3681.5189054111688</v>
      </c>
      <c r="AM20" s="6">
        <f t="shared" si="8"/>
        <v>0.14174386810954154</v>
      </c>
      <c r="AN20" s="6">
        <f t="shared" si="9"/>
        <v>-3681.3771615430592</v>
      </c>
      <c r="AR20" s="126">
        <f t="shared" si="23"/>
        <v>2008</v>
      </c>
      <c r="AS20" s="23">
        <f>SUM($AH$5:AH20)</f>
        <v>-62676.206248771618</v>
      </c>
      <c r="AT20" s="32">
        <f>INDEX('Term Smoker Mortality Exp'!$A$25:$U$45,MATCH('20 Year Smoker W Intervention'!AR20,'Term Smoker Mortality Exp'!$A$25:$A$45,0),MATCH('20 Year Smoker W Intervention'!$E$4,'Term Smoker Mortality Exp'!$A$25:$U$25,0))</f>
        <v>12</v>
      </c>
      <c r="AU20" s="23"/>
      <c r="AV20" s="32"/>
      <c r="AW20" s="32"/>
      <c r="AX20" s="23"/>
    </row>
    <row r="21" spans="1:50" ht="28" x14ac:dyDescent="0.15">
      <c r="A21" s="15"/>
      <c r="B21" s="17" t="s">
        <v>59</v>
      </c>
      <c r="C21" s="12">
        <v>50</v>
      </c>
      <c r="D21" s="2"/>
      <c r="E21" s="47">
        <v>0.40799999999999997</v>
      </c>
      <c r="F21" s="18" t="s">
        <v>62</v>
      </c>
      <c r="G21" s="5"/>
      <c r="H21" s="5"/>
      <c r="I21" s="14">
        <f t="shared" si="10"/>
        <v>56</v>
      </c>
      <c r="J21" s="3">
        <f t="shared" si="11"/>
        <v>17</v>
      </c>
      <c r="K21" s="13">
        <f>$H$3</f>
        <v>6376.1153000000004</v>
      </c>
      <c r="L21" s="13">
        <f t="shared" si="19"/>
        <v>260.14550424000004</v>
      </c>
      <c r="M21" s="59">
        <v>50</v>
      </c>
      <c r="N21" s="13">
        <f t="shared" si="0"/>
        <v>1000000</v>
      </c>
      <c r="O21" s="30">
        <v>0.1</v>
      </c>
      <c r="P21" s="39">
        <f t="shared" si="1"/>
        <v>100</v>
      </c>
      <c r="Q21" s="39">
        <f t="shared" si="2"/>
        <v>10</v>
      </c>
      <c r="R21" s="35"/>
      <c r="S21" s="43">
        <f>VLOOKUP(I21,'Mortality Table Latest'!$A$3:$E$123,5,FALSE)*(1-$B$30)*1000</f>
        <v>13.202475</v>
      </c>
      <c r="T21">
        <v>6.0125762594170394E-3</v>
      </c>
      <c r="U21" s="37">
        <f t="shared" si="20"/>
        <v>0.84460957646654966</v>
      </c>
      <c r="V21" s="37">
        <f t="shared" si="13"/>
        <v>1.115093681806021E-2</v>
      </c>
      <c r="W21" s="37">
        <f t="shared" si="14"/>
        <v>5.078279487939057E-3</v>
      </c>
      <c r="X21" s="36">
        <f t="shared" si="21"/>
        <v>0.82838036016055039</v>
      </c>
      <c r="Y21" s="35"/>
      <c r="Z21" s="6">
        <f t="shared" si="15"/>
        <v>84.460957646654961</v>
      </c>
      <c r="AA21" s="6">
        <f t="shared" si="15"/>
        <v>8.4460957646654968</v>
      </c>
      <c r="AB21" s="6">
        <f t="shared" si="3"/>
        <v>82.838036016055042</v>
      </c>
      <c r="AC21" s="6">
        <f t="shared" si="4"/>
        <v>8.2838036016055039</v>
      </c>
      <c r="AD21" s="35"/>
      <c r="AE21" s="6">
        <f>$X21*K21</f>
        <v>5281.8486886391966</v>
      </c>
      <c r="AF21" s="6">
        <f t="shared" ref="AF21:AG24" si="26">-$X21*L21</f>
        <v>-215.49942649647923</v>
      </c>
      <c r="AG21" s="6">
        <f t="shared" si="26"/>
        <v>-41.419018008027521</v>
      </c>
      <c r="AH21" s="6">
        <f t="shared" si="16"/>
        <v>-11150.93681806021</v>
      </c>
      <c r="AI21" s="6">
        <f t="shared" si="24"/>
        <v>-6126.0065739255206</v>
      </c>
      <c r="AJ21" s="6">
        <f t="shared" si="22"/>
        <v>1.4174386810954231</v>
      </c>
      <c r="AK21" s="6">
        <f t="shared" si="18"/>
        <v>153.22991257195494</v>
      </c>
      <c r="AL21" s="6">
        <f t="shared" si="25"/>
        <v>-5971.3592226724704</v>
      </c>
      <c r="AM21" s="6">
        <f t="shared" si="8"/>
        <v>0.16229216305999294</v>
      </c>
      <c r="AN21" s="6">
        <f t="shared" si="9"/>
        <v>-5971.1969305094108</v>
      </c>
      <c r="AR21" s="126">
        <f t="shared" si="23"/>
        <v>2007</v>
      </c>
      <c r="AS21" s="23">
        <f>SUM($AH$5:AH21)</f>
        <v>-73827.143066831835</v>
      </c>
      <c r="AT21" s="32">
        <f>INDEX('Term Smoker Mortality Exp'!$A$25:$U$45,MATCH('20 Year Smoker W Intervention'!AR21,'Term Smoker Mortality Exp'!$A$25:$A$45,0),MATCH('20 Year Smoker W Intervention'!$E$4,'Term Smoker Mortality Exp'!$A$25:$U$25,0))</f>
        <v>11</v>
      </c>
      <c r="AU21" s="23"/>
      <c r="AV21" s="32"/>
      <c r="AW21" s="32"/>
      <c r="AX21" s="23"/>
    </row>
    <row r="22" spans="1:50" x14ac:dyDescent="0.15">
      <c r="A22" t="s">
        <v>63</v>
      </c>
      <c r="B22" s="48">
        <v>2.52E-2</v>
      </c>
      <c r="C22" s="10"/>
      <c r="F22" s="3"/>
      <c r="G22" s="10"/>
      <c r="I22" s="14">
        <f t="shared" si="10"/>
        <v>57</v>
      </c>
      <c r="J22" s="3">
        <f t="shared" si="11"/>
        <v>18</v>
      </c>
      <c r="K22" s="13">
        <f t="shared" si="12"/>
        <v>6376.1153000000004</v>
      </c>
      <c r="L22" s="13">
        <f t="shared" si="19"/>
        <v>260.14550424000004</v>
      </c>
      <c r="M22" s="59">
        <v>50</v>
      </c>
      <c r="N22" s="13">
        <f t="shared" si="0"/>
        <v>1000000</v>
      </c>
      <c r="O22" s="30">
        <v>0.1</v>
      </c>
      <c r="P22" s="39">
        <f t="shared" si="1"/>
        <v>100</v>
      </c>
      <c r="Q22" s="39">
        <f t="shared" si="2"/>
        <v>10</v>
      </c>
      <c r="R22" s="35"/>
      <c r="S22" s="43">
        <f>VLOOKUP(I22,'Mortality Table Latest'!$A$3:$E$123,5,FALSE)*(1-$B$30)*1000</f>
        <v>14.495249999999997</v>
      </c>
      <c r="T22">
        <v>5.9179638399499933E-3</v>
      </c>
      <c r="U22" s="37">
        <f t="shared" si="20"/>
        <v>0.82838036016055039</v>
      </c>
      <c r="V22" s="37">
        <f t="shared" si="13"/>
        <v>1.2007580415617216E-2</v>
      </c>
      <c r="W22" s="37">
        <f t="shared" si="14"/>
        <v>4.9023250171548894E-3</v>
      </c>
      <c r="X22" s="36">
        <f t="shared" si="21"/>
        <v>0.81147045472777823</v>
      </c>
      <c r="Y22" s="35"/>
      <c r="Z22" s="6">
        <f t="shared" ref="Z22:AA24" si="27">AB21</f>
        <v>82.838036016055042</v>
      </c>
      <c r="AA22" s="6">
        <f t="shared" si="27"/>
        <v>8.2838036016055039</v>
      </c>
      <c r="AB22" s="6">
        <f t="shared" si="3"/>
        <v>81.147045472777819</v>
      </c>
      <c r="AC22" s="6">
        <f t="shared" si="4"/>
        <v>8.1147045472777819</v>
      </c>
      <c r="AE22" s="6">
        <f t="shared" si="5"/>
        <v>5174.029181887744</v>
      </c>
      <c r="AF22" s="6">
        <f t="shared" si="26"/>
        <v>-211.10039062101998</v>
      </c>
      <c r="AG22" s="6">
        <f t="shared" si="26"/>
        <v>-40.573522736388909</v>
      </c>
      <c r="AH22" s="6">
        <f>-V22*N22</f>
        <v>-12007.580415617216</v>
      </c>
      <c r="AI22" s="6">
        <f t="shared" si="24"/>
        <v>-7085.2251470868814</v>
      </c>
      <c r="AJ22" s="6">
        <f t="shared" si="22"/>
        <v>1.622921630599919</v>
      </c>
      <c r="AK22" s="6">
        <f t="shared" si="18"/>
        <v>150.10530373726624</v>
      </c>
      <c r="AL22" s="6">
        <f t="shared" si="25"/>
        <v>-6933.4969217190155</v>
      </c>
      <c r="AM22" s="6">
        <f t="shared" si="8"/>
        <v>0.16909905432772199</v>
      </c>
      <c r="AN22" s="6">
        <f t="shared" si="9"/>
        <v>-6933.327822664688</v>
      </c>
      <c r="AR22" s="126">
        <f t="shared" si="23"/>
        <v>2006</v>
      </c>
      <c r="AS22" s="23">
        <f>SUM($AH$5:AH22)</f>
        <v>-85834.723482449044</v>
      </c>
      <c r="AT22" s="32">
        <f>INDEX('Term Smoker Mortality Exp'!$A$25:$U$45,MATCH('20 Year Smoker W Intervention'!AR22,'Term Smoker Mortality Exp'!$A$25:$A$45,0),MATCH('20 Year Smoker W Intervention'!$E$4,'Term Smoker Mortality Exp'!$A$25:$U$25,0))</f>
        <v>9</v>
      </c>
      <c r="AU22" s="23"/>
      <c r="AV22" s="32"/>
      <c r="AW22" s="32"/>
      <c r="AX22" s="23"/>
    </row>
    <row r="23" spans="1:50" x14ac:dyDescent="0.15">
      <c r="B23" s="3"/>
      <c r="C23" s="10"/>
      <c r="F23" s="3"/>
      <c r="G23" s="10"/>
      <c r="I23" s="14">
        <f t="shared" si="10"/>
        <v>58</v>
      </c>
      <c r="J23" s="3">
        <f t="shared" si="11"/>
        <v>19</v>
      </c>
      <c r="K23" s="13">
        <f>$H$3</f>
        <v>6376.1153000000004</v>
      </c>
      <c r="L23" s="13">
        <f t="shared" si="19"/>
        <v>260.14550424000004</v>
      </c>
      <c r="M23" s="59">
        <v>50</v>
      </c>
      <c r="N23" s="13">
        <f t="shared" si="0"/>
        <v>1000000</v>
      </c>
      <c r="O23" s="30">
        <v>0.1</v>
      </c>
      <c r="P23" s="39">
        <f t="shared" si="1"/>
        <v>100</v>
      </c>
      <c r="Q23" s="39">
        <f t="shared" si="2"/>
        <v>10</v>
      </c>
      <c r="R23" s="35"/>
      <c r="S23" s="43">
        <f>VLOOKUP(I23,'Mortality Table Latest'!$A$3:$E$123,5,FALSE)*(1-$B$30)*1000</f>
        <v>15.917549999999999</v>
      </c>
      <c r="T23">
        <v>5.8785501874757578E-3</v>
      </c>
      <c r="U23" s="37">
        <f t="shared" si="20"/>
        <v>0.81147045472777823</v>
      </c>
      <c r="V23" s="37">
        <f t="shared" si="13"/>
        <v>1.2916621536652146E-2</v>
      </c>
      <c r="W23" s="37">
        <f t="shared" si="14"/>
        <v>4.7702697937710191E-3</v>
      </c>
      <c r="X23" s="36">
        <f t="shared" si="21"/>
        <v>0.79378356339735512</v>
      </c>
      <c r="Y23" s="35"/>
      <c r="Z23" s="6">
        <f t="shared" si="27"/>
        <v>81.147045472777819</v>
      </c>
      <c r="AA23" s="6">
        <f t="shared" si="27"/>
        <v>8.1147045472777819</v>
      </c>
      <c r="AB23" s="6">
        <f t="shared" si="3"/>
        <v>79.378356339735518</v>
      </c>
      <c r="AC23" s="6">
        <f t="shared" si="4"/>
        <v>7.9378356339735507</v>
      </c>
      <c r="AE23" s="6">
        <f t="shared" si="5"/>
        <v>5061.255523466396</v>
      </c>
      <c r="AF23" s="6">
        <f t="shared" si="26"/>
        <v>-206.499225357429</v>
      </c>
      <c r="AG23" s="6">
        <f t="shared" si="26"/>
        <v>-39.689178169867759</v>
      </c>
      <c r="AH23" s="6">
        <f>-V23*N23</f>
        <v>-12916.621536652146</v>
      </c>
      <c r="AI23" s="6">
        <f t="shared" si="24"/>
        <v>-8101.5544167130474</v>
      </c>
      <c r="AJ23" s="6">
        <f t="shared" si="22"/>
        <v>1.6909905432772181</v>
      </c>
      <c r="AK23" s="6">
        <f t="shared" si="18"/>
        <v>146.83733602943198</v>
      </c>
      <c r="AL23" s="6">
        <f t="shared" si="25"/>
        <v>-7953.0260901403381</v>
      </c>
      <c r="AM23" s="6">
        <f t="shared" si="8"/>
        <v>0.17686891330423116</v>
      </c>
      <c r="AN23" s="6">
        <f t="shared" si="9"/>
        <v>-7952.8492212270339</v>
      </c>
      <c r="AR23" s="126">
        <f>AR22-1</f>
        <v>2005</v>
      </c>
      <c r="AS23" s="23">
        <f>SUM($AH$5:AH23)</f>
        <v>-98751.345019101194</v>
      </c>
      <c r="AT23" s="32">
        <f>INDEX('Term Smoker Mortality Exp'!$A$25:$U$45,MATCH('20 Year Smoker W Intervention'!AR23,'Term Smoker Mortality Exp'!$A$25:$A$45,0),MATCH('20 Year Smoker W Intervention'!$E$4,'Term Smoker Mortality Exp'!$A$25:$U$25,0))</f>
        <v>10</v>
      </c>
      <c r="AU23" s="23"/>
      <c r="AV23" s="32"/>
      <c r="AW23" s="32"/>
      <c r="AX23" s="23"/>
    </row>
    <row r="24" spans="1:50" x14ac:dyDescent="0.15">
      <c r="B24" s="3"/>
      <c r="C24" s="10"/>
      <c r="F24" s="3"/>
      <c r="G24" s="10"/>
      <c r="I24" s="14">
        <f t="shared" si="10"/>
        <v>59</v>
      </c>
      <c r="J24" s="3">
        <f t="shared" si="11"/>
        <v>20</v>
      </c>
      <c r="K24" s="13">
        <f t="shared" si="12"/>
        <v>6376.1153000000004</v>
      </c>
      <c r="L24" s="13">
        <f t="shared" si="19"/>
        <v>260.14550424000004</v>
      </c>
      <c r="M24" s="59">
        <v>50</v>
      </c>
      <c r="N24" s="13">
        <f t="shared" si="0"/>
        <v>1000000</v>
      </c>
      <c r="O24" s="30">
        <v>0.1</v>
      </c>
      <c r="P24" s="39">
        <f t="shared" si="1"/>
        <v>100</v>
      </c>
      <c r="Q24" s="39">
        <f t="shared" si="2"/>
        <v>10</v>
      </c>
      <c r="R24" s="35"/>
      <c r="S24" s="43">
        <f>VLOOKUP(I24,'Mortality Table Latest'!$A$3:$E$123,5,FALSE)*(1-$B$30)*1000</f>
        <v>17.621175000000001</v>
      </c>
      <c r="T24">
        <v>0.58662149964898991</v>
      </c>
      <c r="U24" s="37">
        <f t="shared" si="20"/>
        <v>0.79378356339735512</v>
      </c>
      <c r="V24" s="37">
        <f t="shared" si="13"/>
        <v>1.3987399082748389E-2</v>
      </c>
      <c r="W24" s="37">
        <f t="shared" si="14"/>
        <v>0.46565050435687549</v>
      </c>
      <c r="X24" s="36">
        <f t="shared" si="21"/>
        <v>0.31414565995773125</v>
      </c>
      <c r="Y24" s="35"/>
      <c r="Z24" s="6">
        <f t="shared" si="27"/>
        <v>79.378356339735518</v>
      </c>
      <c r="AA24" s="6">
        <f t="shared" si="27"/>
        <v>7.9378356339735507</v>
      </c>
      <c r="AB24" s="6">
        <f t="shared" si="3"/>
        <v>31.414565995773124</v>
      </c>
      <c r="AC24" s="6">
        <f t="shared" si="4"/>
        <v>3.1414565995773125</v>
      </c>
      <c r="AE24" s="6">
        <f t="shared" si="5"/>
        <v>2003.0289488850876</v>
      </c>
      <c r="AF24" s="6">
        <f t="shared" si="26"/>
        <v>-81.723581114511589</v>
      </c>
      <c r="AG24" s="6">
        <f t="shared" si="26"/>
        <v>-15.707282997886562</v>
      </c>
      <c r="AH24" s="6">
        <f>-V24*N24</f>
        <v>-13987.399082748389</v>
      </c>
      <c r="AI24" s="6">
        <f t="shared" si="24"/>
        <v>-12081.800997975699</v>
      </c>
      <c r="AJ24" s="6">
        <f t="shared" si="22"/>
        <v>1.7686891330423171</v>
      </c>
      <c r="AK24" s="6">
        <f t="shared" si="18"/>
        <v>59.656060324405267</v>
      </c>
      <c r="AL24" s="6">
        <f t="shared" si="25"/>
        <v>-12020.376248518251</v>
      </c>
      <c r="AM24" s="6">
        <f t="shared" si="8"/>
        <v>4.7963790343962387</v>
      </c>
      <c r="AN24" s="6">
        <f t="shared" si="9"/>
        <v>-12015.579869483854</v>
      </c>
      <c r="AR24" s="128">
        <v>2004</v>
      </c>
      <c r="AS24" s="23">
        <f>SUM($AH$5:AH24)</f>
        <v>-112738.74410184959</v>
      </c>
      <c r="AT24" s="32">
        <f>INDEX('Term Smoker Mortality Exp'!$A$25:$U$45,MATCH('20 Year Smoker W Intervention'!AR24,'Term Smoker Mortality Exp'!$A$25:$A$45,0),MATCH('20 Year Smoker W Intervention'!$E$4,'Term Smoker Mortality Exp'!$A$25:$U$25,0))</f>
        <v>8</v>
      </c>
      <c r="AU24" s="23"/>
      <c r="AV24" s="32"/>
      <c r="AW24" s="32"/>
      <c r="AX24" s="23"/>
    </row>
    <row r="25" spans="1:50" x14ac:dyDescent="0.15">
      <c r="B25" s="56" t="s">
        <v>65</v>
      </c>
      <c r="C25" s="46">
        <f>AP4</f>
        <v>29024.199473328903</v>
      </c>
      <c r="F25" s="3"/>
      <c r="G25" s="10"/>
      <c r="J25" s="3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6"/>
      <c r="AA25" s="6"/>
      <c r="AB25" s="6"/>
      <c r="AC25" s="6"/>
      <c r="AR25" s="126"/>
      <c r="AS25" s="23"/>
      <c r="AT25" s="32"/>
      <c r="AU25" s="23"/>
      <c r="AV25" s="32"/>
      <c r="AW25" s="32"/>
      <c r="AX25" s="23"/>
    </row>
    <row r="26" spans="1:50" x14ac:dyDescent="0.15">
      <c r="B26" s="3"/>
      <c r="C26" s="10"/>
      <c r="F26" s="3"/>
      <c r="G26" s="10"/>
      <c r="J26" s="3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6"/>
      <c r="AA26" s="6"/>
      <c r="AB26" s="6"/>
      <c r="AC26" s="6"/>
      <c r="AR26" s="126"/>
      <c r="AS26" s="23"/>
      <c r="AT26" s="32"/>
      <c r="AU26" s="23"/>
      <c r="AV26" s="32"/>
      <c r="AW26" s="32"/>
      <c r="AX26" s="23"/>
    </row>
    <row r="27" spans="1:50" x14ac:dyDescent="0.15">
      <c r="B27" s="3"/>
      <c r="C27" s="10"/>
      <c r="F27" s="3"/>
      <c r="G27" s="10"/>
      <c r="J27" s="3"/>
      <c r="AR27" s="63"/>
      <c r="AS27" s="32"/>
      <c r="AT27" s="32"/>
      <c r="AU27" s="23"/>
      <c r="AV27" s="32"/>
      <c r="AW27" s="32"/>
      <c r="AX27" s="23"/>
    </row>
    <row r="28" spans="1:50" x14ac:dyDescent="0.15">
      <c r="B28" s="56" t="s">
        <v>80</v>
      </c>
      <c r="C28" s="57" t="s">
        <v>81</v>
      </c>
      <c r="F28" s="3"/>
      <c r="G28" s="10"/>
      <c r="AD28" s="44" t="s">
        <v>67</v>
      </c>
      <c r="AE28" s="13">
        <f>SUM(AE4:AE24)</f>
        <v>118384.37805015846</v>
      </c>
      <c r="AF28" s="13">
        <f t="shared" ref="AF28:AN28" si="28">SUM(AF4:AF24)</f>
        <v>-6140.7696034611808</v>
      </c>
      <c r="AG28" s="13">
        <f t="shared" si="28"/>
        <v>-3615.9540432710392</v>
      </c>
      <c r="AH28" s="13">
        <f>SUM(AH4:AH24)</f>
        <v>-112738.74410184959</v>
      </c>
      <c r="AI28" s="13">
        <f t="shared" si="28"/>
        <v>-4111.0896984233123</v>
      </c>
      <c r="AJ28" s="13">
        <f t="shared" si="28"/>
        <v>-79.378356339735461</v>
      </c>
      <c r="AK28" s="13">
        <f t="shared" si="28"/>
        <v>3336.1719249708513</v>
      </c>
      <c r="AL28" s="13">
        <f t="shared" si="28"/>
        <v>-854.296129792192</v>
      </c>
      <c r="AM28" s="13">
        <f t="shared" si="28"/>
        <v>-3.141456599577312</v>
      </c>
      <c r="AN28" s="13">
        <f t="shared" si="28"/>
        <v>-857.43758639178122</v>
      </c>
      <c r="AR28" s="63"/>
      <c r="AS28" s="94"/>
      <c r="AT28" s="94">
        <f>SUMPRODUCT(AS5:AS24,AT5:AT24)</f>
        <v>-6526184.4192425525</v>
      </c>
    </row>
    <row r="29" spans="1:50" ht="28" x14ac:dyDescent="0.15">
      <c r="A29" s="55" t="s">
        <v>82</v>
      </c>
      <c r="B29" s="3">
        <v>2000</v>
      </c>
      <c r="C29" s="57" t="s">
        <v>83</v>
      </c>
      <c r="D29" s="51" t="s">
        <v>84</v>
      </c>
      <c r="F29" s="3"/>
      <c r="G29" s="10"/>
    </row>
    <row r="30" spans="1:50" ht="28" x14ac:dyDescent="0.15">
      <c r="A30" s="55" t="s">
        <v>85</v>
      </c>
      <c r="B30" s="159">
        <v>0.17499999999999999</v>
      </c>
      <c r="C30" s="57"/>
      <c r="F30" s="3"/>
      <c r="G30" s="10"/>
    </row>
    <row r="31" spans="1:50" x14ac:dyDescent="0.15">
      <c r="A31" s="51" t="s">
        <v>86</v>
      </c>
      <c r="B31" s="3"/>
      <c r="C31" s="10"/>
      <c r="F31" s="3"/>
      <c r="G31" s="10"/>
      <c r="H31" s="51"/>
      <c r="AD31" s="51" t="s">
        <v>69</v>
      </c>
      <c r="AE31" s="45">
        <f>AE4+NPV($D$7,AE5:AE24)</f>
        <v>75483.921457982229</v>
      </c>
      <c r="AF31" s="45">
        <f t="shared" ref="AF31:AN31" si="29">AF4+NPV($D$7,AF5:AF24)</f>
        <v>-4403.4738489585798</v>
      </c>
      <c r="AG31" s="45">
        <f t="shared" si="29"/>
        <v>-3279.538729449971</v>
      </c>
      <c r="AH31" s="45">
        <f t="shared" si="29"/>
        <v>-54251.634102189477</v>
      </c>
      <c r="AI31" s="45">
        <f t="shared" si="29"/>
        <v>13549.274777384215</v>
      </c>
      <c r="AJ31" s="45">
        <f t="shared" si="29"/>
        <v>-207.22334334696961</v>
      </c>
      <c r="AK31" s="45">
        <f t="shared" si="29"/>
        <v>2075.6205095797122</v>
      </c>
      <c r="AL31" s="45">
        <f>AL4+NPV($D$7,AL5:AL19)</f>
        <v>29024.199473328903</v>
      </c>
      <c r="AM31" s="45">
        <f t="shared" si="29"/>
        <v>-7.1922913342802639</v>
      </c>
      <c r="AN31" s="45">
        <f t="shared" si="29"/>
        <v>15410.479652282687</v>
      </c>
      <c r="AP31" s="45"/>
    </row>
    <row r="32" spans="1:50" x14ac:dyDescent="0.15">
      <c r="A32" s="51"/>
      <c r="B32" s="3"/>
      <c r="C32" s="10"/>
      <c r="F32" s="3"/>
      <c r="G32" s="10"/>
      <c r="H32" s="51"/>
      <c r="I32" s="51"/>
      <c r="AD32" s="51" t="s">
        <v>70</v>
      </c>
      <c r="AE32" s="45">
        <f>AE4+NPV(12%,AE5:AE24)</f>
        <v>50747.641370203608</v>
      </c>
      <c r="AF32" s="45">
        <f t="shared" ref="AF32:AN32" si="30">AF4+NPV(12%,AF5:AF24)</f>
        <v>-3407.9963947503029</v>
      </c>
      <c r="AG32" s="45">
        <f t="shared" si="30"/>
        <v>-3085.5626254750428</v>
      </c>
      <c r="AH32" s="45">
        <f t="shared" si="30"/>
        <v>-26680.046449495232</v>
      </c>
      <c r="AI32" s="45">
        <f t="shared" si="30"/>
        <v>17574.035900483024</v>
      </c>
      <c r="AJ32" s="45">
        <f t="shared" si="30"/>
        <v>-302.50876434411521</v>
      </c>
      <c r="AK32" s="45">
        <f t="shared" si="30"/>
        <v>1345.1823559825366</v>
      </c>
      <c r="AL32" s="45">
        <f t="shared" si="30"/>
        <v>18616.709492121438</v>
      </c>
      <c r="AM32" s="45">
        <f t="shared" si="30"/>
        <v>-8.8182954774290963</v>
      </c>
      <c r="AN32" s="45">
        <f t="shared" si="30"/>
        <v>18607.891196644014</v>
      </c>
    </row>
    <row r="33" spans="1:12" x14ac:dyDescent="0.15">
      <c r="A33" s="62"/>
      <c r="B33" s="3"/>
      <c r="C33" s="10"/>
      <c r="F33" s="3"/>
      <c r="G33" s="10"/>
      <c r="H33" s="51"/>
    </row>
    <row r="34" spans="1:12" x14ac:dyDescent="0.15">
      <c r="A34" s="52">
        <f>U98</f>
        <v>0.86573573626321099</v>
      </c>
      <c r="B34" s="3"/>
      <c r="C34" s="10"/>
      <c r="F34" s="3"/>
      <c r="G34" s="10"/>
      <c r="H34" s="51"/>
    </row>
    <row r="35" spans="1:12" x14ac:dyDescent="0.15">
      <c r="B35" s="3"/>
      <c r="C35" s="10"/>
      <c r="F35" s="3"/>
      <c r="G35" s="10"/>
      <c r="H35" s="51"/>
    </row>
    <row r="36" spans="1:12" x14ac:dyDescent="0.15">
      <c r="B36" s="3"/>
      <c r="C36" s="10"/>
      <c r="F36" s="3"/>
      <c r="G36" s="10"/>
      <c r="H36" s="51"/>
    </row>
    <row r="37" spans="1:12" x14ac:dyDescent="0.15">
      <c r="B37" s="3"/>
      <c r="C37" s="10"/>
      <c r="F37" s="3"/>
      <c r="G37" s="10"/>
      <c r="H37" s="51"/>
    </row>
    <row r="38" spans="1:12" x14ac:dyDescent="0.15">
      <c r="B38" s="3"/>
      <c r="C38" s="10"/>
      <c r="F38" s="3"/>
      <c r="G38" s="10"/>
      <c r="H38" s="51"/>
    </row>
    <row r="39" spans="1:12" x14ac:dyDescent="0.15">
      <c r="B39" s="3"/>
      <c r="C39" s="10"/>
      <c r="F39" s="3"/>
      <c r="G39" s="10"/>
      <c r="H39" s="51"/>
      <c r="I39" s="31"/>
    </row>
    <row r="40" spans="1:12" x14ac:dyDescent="0.15">
      <c r="A40" s="51" t="s">
        <v>87</v>
      </c>
      <c r="B40" s="3"/>
      <c r="C40" s="10"/>
      <c r="F40" s="3"/>
      <c r="G40" s="10"/>
    </row>
    <row r="41" spans="1:12" x14ac:dyDescent="0.15">
      <c r="A41" s="62" t="s">
        <v>88</v>
      </c>
      <c r="B41" s="3"/>
      <c r="C41" s="10"/>
      <c r="F41" s="3"/>
      <c r="G41" s="10"/>
    </row>
    <row r="42" spans="1:12" x14ac:dyDescent="0.15">
      <c r="A42" s="51" t="s">
        <v>89</v>
      </c>
      <c r="B42" s="3"/>
      <c r="C42" s="10"/>
      <c r="F42" s="3"/>
      <c r="G42" s="10"/>
    </row>
    <row r="43" spans="1:12" x14ac:dyDescent="0.15">
      <c r="B43" s="3"/>
      <c r="C43" s="10"/>
      <c r="F43" s="3"/>
      <c r="G43" s="10"/>
    </row>
    <row r="44" spans="1:12" x14ac:dyDescent="0.15">
      <c r="B44" s="3"/>
      <c r="C44" s="10"/>
      <c r="F44" s="56"/>
      <c r="G44" s="10"/>
    </row>
    <row r="45" spans="1:12" x14ac:dyDescent="0.15">
      <c r="B45" s="3"/>
      <c r="C45" s="10"/>
      <c r="F45" s="3"/>
      <c r="G45" s="57"/>
    </row>
    <row r="46" spans="1:12" x14ac:dyDescent="0.15">
      <c r="B46" s="3"/>
      <c r="C46" s="10"/>
      <c r="D46" s="51"/>
      <c r="E46" s="51"/>
      <c r="F46" s="56"/>
      <c r="G46" s="4"/>
      <c r="H46" s="64"/>
      <c r="I46" s="64"/>
      <c r="J46" s="64"/>
      <c r="K46" s="64"/>
      <c r="L46" s="64"/>
    </row>
    <row r="47" spans="1:12" x14ac:dyDescent="0.15">
      <c r="F47" s="63"/>
    </row>
    <row r="48" spans="1:12" x14ac:dyDescent="0.15">
      <c r="F48" s="63"/>
    </row>
    <row r="49" spans="6:28" x14ac:dyDescent="0.15">
      <c r="F49" s="63"/>
    </row>
    <row r="50" spans="6:28" x14ac:dyDescent="0.15">
      <c r="F50" s="63"/>
    </row>
    <row r="51" spans="6:28" x14ac:dyDescent="0.15">
      <c r="F51" s="63"/>
    </row>
    <row r="52" spans="6:28" x14ac:dyDescent="0.15">
      <c r="F52" s="63"/>
    </row>
    <row r="53" spans="6:28" x14ac:dyDescent="0.15">
      <c r="F53" s="63"/>
    </row>
    <row r="56" spans="6:28" ht="70" x14ac:dyDescent="0.15">
      <c r="F56" s="67" t="s">
        <v>71</v>
      </c>
      <c r="G56" s="69" t="s">
        <v>72</v>
      </c>
      <c r="H56" s="69" t="s">
        <v>73</v>
      </c>
      <c r="I56" s="69" t="s">
        <v>74</v>
      </c>
      <c r="J56" s="69" t="s">
        <v>75</v>
      </c>
      <c r="K56" s="69" t="s">
        <v>76</v>
      </c>
      <c r="L56" s="67" t="s">
        <v>77</v>
      </c>
      <c r="M56" s="67" t="s">
        <v>78</v>
      </c>
      <c r="N56" s="67" t="s">
        <v>79</v>
      </c>
      <c r="O56" s="67" t="s">
        <v>90</v>
      </c>
      <c r="P56" s="114" t="s">
        <v>91</v>
      </c>
      <c r="Q56" s="114" t="s">
        <v>92</v>
      </c>
      <c r="R56" s="114" t="s">
        <v>93</v>
      </c>
      <c r="S56" s="142" t="s">
        <v>94</v>
      </c>
      <c r="T56" s="142" t="s">
        <v>95</v>
      </c>
      <c r="U56" s="142" t="s">
        <v>96</v>
      </c>
      <c r="V56" s="89" t="s">
        <v>97</v>
      </c>
      <c r="W56" s="148"/>
      <c r="X56" s="142"/>
      <c r="Y56" s="142"/>
      <c r="Z56" s="114" t="s">
        <v>98</v>
      </c>
      <c r="AA56" s="114"/>
    </row>
    <row r="57" spans="6:28" x14ac:dyDescent="0.15">
      <c r="F57" s="92">
        <v>26</v>
      </c>
      <c r="G57" s="115">
        <v>3038</v>
      </c>
      <c r="H57" s="157">
        <v>1000000</v>
      </c>
      <c r="I57" s="69"/>
      <c r="J57" s="69"/>
      <c r="K57" s="69"/>
      <c r="L57" s="111">
        <v>1397.1769505141438</v>
      </c>
      <c r="M57" s="111">
        <f>L57*1.2</f>
        <v>1676.6123406169725</v>
      </c>
      <c r="N57" s="112">
        <v>3259.39</v>
      </c>
      <c r="O57" s="176"/>
      <c r="P57" s="112">
        <f>M57*(1-$P$98)</f>
        <v>1643.080093804633</v>
      </c>
      <c r="Q57" s="112">
        <v>4586.62</v>
      </c>
      <c r="R57" s="93">
        <f>Q57-N57</f>
        <v>1327.23</v>
      </c>
      <c r="S57" s="143">
        <v>-3260673.46</v>
      </c>
      <c r="T57" s="96">
        <v>5000000</v>
      </c>
      <c r="U57" s="144">
        <f>T57+S57</f>
        <v>1739326.54</v>
      </c>
      <c r="V57" s="147">
        <f>M57*(1-$P$98)</f>
        <v>1643.080093804633</v>
      </c>
      <c r="W57" s="104"/>
      <c r="X57" s="93"/>
      <c r="Y57" s="104"/>
      <c r="Z57" s="152">
        <v>8.6765168186104996E-2</v>
      </c>
      <c r="AA57" s="93"/>
      <c r="AB57" s="90"/>
    </row>
    <row r="58" spans="6:28" x14ac:dyDescent="0.15">
      <c r="F58" s="92">
        <v>27</v>
      </c>
      <c r="G58" s="115">
        <v>2942</v>
      </c>
      <c r="H58" s="157">
        <v>1000000</v>
      </c>
      <c r="I58" s="69"/>
      <c r="J58" s="69"/>
      <c r="K58" s="69"/>
      <c r="L58" s="111">
        <v>1490.180594144721</v>
      </c>
      <c r="M58" s="111">
        <f t="shared" ref="M58:M71" si="31">L58*1.2</f>
        <v>1788.2167129736652</v>
      </c>
      <c r="N58" s="112">
        <v>3474.45</v>
      </c>
      <c r="O58" s="176"/>
      <c r="P58" s="112">
        <f t="shared" ref="P58:P61" si="32">M58*(1-$P$98)</f>
        <v>1752.4523787141918</v>
      </c>
      <c r="Q58" s="112">
        <v>5089.28</v>
      </c>
      <c r="R58" s="93">
        <f t="shared" ref="R58:R71" si="33">Q58-N58</f>
        <v>1614.83</v>
      </c>
      <c r="S58" s="143">
        <v>-3486410.51</v>
      </c>
      <c r="T58" s="96">
        <v>5000000</v>
      </c>
      <c r="U58" s="144">
        <f t="shared" ref="U58:U71" si="34">T58+S58</f>
        <v>1513589.4900000002</v>
      </c>
      <c r="V58" s="147">
        <f t="shared" ref="V58:V61" si="35">M58*(1-$P$98)</f>
        <v>1752.4523787141918</v>
      </c>
      <c r="W58" s="104"/>
      <c r="X58" s="93"/>
      <c r="Y58" s="104"/>
      <c r="Z58" s="152">
        <v>8.7708267840301793E-2</v>
      </c>
      <c r="AA58" s="93"/>
      <c r="AB58" s="90"/>
    </row>
    <row r="59" spans="6:28" x14ac:dyDescent="0.15">
      <c r="F59" s="92">
        <v>28</v>
      </c>
      <c r="G59" s="115">
        <v>2736</v>
      </c>
      <c r="H59" s="157">
        <v>1000000</v>
      </c>
      <c r="I59" s="69"/>
      <c r="J59" s="69"/>
      <c r="K59" s="69"/>
      <c r="L59" s="111">
        <v>1595.0678920146202</v>
      </c>
      <c r="M59" s="111">
        <f t="shared" si="31"/>
        <v>1914.0814704175441</v>
      </c>
      <c r="N59" s="112">
        <v>3716.6</v>
      </c>
      <c r="O59" s="176"/>
      <c r="P59" s="112">
        <f t="shared" si="32"/>
        <v>1875.7998410091932</v>
      </c>
      <c r="Q59" s="112">
        <v>5650.05</v>
      </c>
      <c r="R59" s="93">
        <f>Q59-N59</f>
        <v>1933.4500000000003</v>
      </c>
      <c r="S59" s="143">
        <v>-3670324.28</v>
      </c>
      <c r="T59" s="96">
        <v>7000000</v>
      </c>
      <c r="U59" s="144">
        <f t="shared" si="34"/>
        <v>3329675.72</v>
      </c>
      <c r="V59" s="147">
        <f t="shared" si="35"/>
        <v>1875.7998410091932</v>
      </c>
      <c r="W59" s="104"/>
      <c r="X59" s="93"/>
      <c r="Y59" s="155"/>
      <c r="Z59" s="152">
        <v>8.6450801634706073E-2</v>
      </c>
      <c r="AA59" s="93"/>
      <c r="AB59" s="90"/>
    </row>
    <row r="60" spans="6:28" x14ac:dyDescent="0.15">
      <c r="F60" s="92">
        <v>29</v>
      </c>
      <c r="G60" s="115">
        <v>2641</v>
      </c>
      <c r="H60" s="157">
        <v>1000000</v>
      </c>
      <c r="I60" s="69"/>
      <c r="J60" s="69"/>
      <c r="K60" s="69"/>
      <c r="L60" s="111">
        <v>1712.8613395047862</v>
      </c>
      <c r="M60" s="111">
        <f t="shared" si="31"/>
        <v>2055.4336074057433</v>
      </c>
      <c r="N60" s="112">
        <v>3988.13</v>
      </c>
      <c r="O60" s="176"/>
      <c r="P60" s="112">
        <f t="shared" si="32"/>
        <v>2014.3249352576283</v>
      </c>
      <c r="Q60" s="112">
        <v>6272.71</v>
      </c>
      <c r="R60" s="93">
        <f t="shared" si="33"/>
        <v>2284.58</v>
      </c>
      <c r="S60" s="143">
        <v>-3831459.52</v>
      </c>
      <c r="T60" s="96">
        <v>5000000</v>
      </c>
      <c r="U60" s="144">
        <f t="shared" si="34"/>
        <v>1168540.48</v>
      </c>
      <c r="V60" s="147">
        <f t="shared" si="35"/>
        <v>2014.3249352576283</v>
      </c>
      <c r="W60" s="104"/>
      <c r="X60" s="93"/>
      <c r="Y60" s="155"/>
      <c r="Z60" s="152">
        <v>8.1735303363722103E-2</v>
      </c>
      <c r="AA60" s="93"/>
      <c r="AB60" s="90"/>
    </row>
    <row r="61" spans="6:28" x14ac:dyDescent="0.15">
      <c r="F61" s="92">
        <v>30</v>
      </c>
      <c r="G61" s="115">
        <v>2576</v>
      </c>
      <c r="H61" s="157">
        <v>1000000</v>
      </c>
      <c r="I61" s="69"/>
      <c r="J61" s="69"/>
      <c r="K61" s="69"/>
      <c r="L61" s="111">
        <v>1844.5630377784569</v>
      </c>
      <c r="M61" s="111">
        <f>L61*1.2</f>
        <v>2213.4756453341483</v>
      </c>
      <c r="N61" s="112">
        <v>4291.2</v>
      </c>
      <c r="O61" s="176"/>
      <c r="P61" s="112">
        <f t="shared" si="32"/>
        <v>2169.2061324274655</v>
      </c>
      <c r="Q61" s="112">
        <v>6962.76</v>
      </c>
      <c r="R61" s="93">
        <f t="shared" si="33"/>
        <v>2671.5600000000004</v>
      </c>
      <c r="S61" s="143">
        <v>-3867130.01</v>
      </c>
      <c r="T61" s="96">
        <v>7000000</v>
      </c>
      <c r="U61" s="144">
        <f t="shared" si="34"/>
        <v>3132869.99</v>
      </c>
      <c r="V61" s="147">
        <f t="shared" si="35"/>
        <v>2169.2061324274655</v>
      </c>
      <c r="W61" s="104"/>
      <c r="X61" s="93"/>
      <c r="Y61" s="155"/>
      <c r="Z61" s="152">
        <v>8.1420936812323166E-2</v>
      </c>
      <c r="AA61" s="93"/>
      <c r="AB61" s="90"/>
    </row>
    <row r="62" spans="6:28" x14ac:dyDescent="0.15">
      <c r="F62" s="105">
        <v>31</v>
      </c>
      <c r="G62" s="115">
        <v>2501</v>
      </c>
      <c r="H62" s="157">
        <v>1000000</v>
      </c>
      <c r="I62" s="69"/>
      <c r="J62" s="69"/>
      <c r="K62" s="69"/>
      <c r="L62" s="111">
        <v>1990.4147395371547</v>
      </c>
      <c r="M62" s="111">
        <f t="shared" si="31"/>
        <v>2388.4976874445856</v>
      </c>
      <c r="N62" s="112">
        <v>4626.21</v>
      </c>
      <c r="O62" s="176"/>
      <c r="P62" s="112">
        <f>M62*(1-$P$99)</f>
        <v>2269.0728030723562</v>
      </c>
      <c r="Q62" s="112">
        <v>7024.95</v>
      </c>
      <c r="R62" s="93">
        <f t="shared" si="33"/>
        <v>2398.7399999999998</v>
      </c>
      <c r="S62" s="143">
        <v>-4174983.24</v>
      </c>
      <c r="T62" s="96">
        <v>2000000</v>
      </c>
      <c r="U62" s="144">
        <f t="shared" si="34"/>
        <v>-2174983.2400000002</v>
      </c>
      <c r="V62" s="147">
        <f>M62*(1-$P$99)</f>
        <v>2269.0728030723562</v>
      </c>
      <c r="W62" s="104"/>
      <c r="X62" s="93"/>
      <c r="Y62" s="155"/>
      <c r="Z62" s="152">
        <v>7.859163784973279E-2</v>
      </c>
      <c r="AA62" s="93"/>
      <c r="AB62" s="90"/>
    </row>
    <row r="63" spans="6:28" x14ac:dyDescent="0.15">
      <c r="F63" s="92">
        <v>32</v>
      </c>
      <c r="G63" s="115">
        <v>2380</v>
      </c>
      <c r="H63" s="157">
        <v>1000000</v>
      </c>
      <c r="I63" s="69"/>
      <c r="J63" s="69"/>
      <c r="K63" s="69"/>
      <c r="L63" s="111">
        <v>2151.994215391197</v>
      </c>
      <c r="M63" s="111">
        <f t="shared" si="31"/>
        <v>2582.3930584694363</v>
      </c>
      <c r="N63" s="112">
        <v>4996.6000000000004</v>
      </c>
      <c r="O63" s="176"/>
      <c r="P63" s="112">
        <f t="shared" ref="P63:P66" si="36">M63*(1-$P$99)</f>
        <v>2453.2734055459641</v>
      </c>
      <c r="Q63" s="112">
        <v>7820.21</v>
      </c>
      <c r="R63" s="93">
        <f t="shared" si="33"/>
        <v>2823.6099999999997</v>
      </c>
      <c r="S63" s="143">
        <v>-4155613.32</v>
      </c>
      <c r="T63" s="96">
        <v>9000000</v>
      </c>
      <c r="U63" s="144">
        <f t="shared" si="34"/>
        <v>4844386.68</v>
      </c>
      <c r="V63" s="147">
        <f t="shared" ref="V63:V66" si="37">M63*(1-$P$99)</f>
        <v>2453.2734055459641</v>
      </c>
      <c r="W63" s="104"/>
      <c r="X63" s="93"/>
      <c r="Y63" s="155"/>
      <c r="Z63" s="152">
        <v>6.6016975793775537E-2</v>
      </c>
      <c r="AA63" s="93"/>
      <c r="AB63" s="90"/>
    </row>
    <row r="64" spans="6:28" x14ac:dyDescent="0.15">
      <c r="F64" s="92">
        <v>33</v>
      </c>
      <c r="G64" s="115">
        <v>2236</v>
      </c>
      <c r="H64" s="157">
        <v>1000000</v>
      </c>
      <c r="I64" s="69"/>
      <c r="J64" s="69"/>
      <c r="K64" s="69"/>
      <c r="L64" s="111">
        <v>2426.3684614283534</v>
      </c>
      <c r="M64" s="111">
        <f t="shared" si="31"/>
        <v>2911.6421537140241</v>
      </c>
      <c r="N64" s="112">
        <v>5626.63</v>
      </c>
      <c r="O64" s="176"/>
      <c r="P64" s="112">
        <f t="shared" si="36"/>
        <v>2766.0600460283226</v>
      </c>
      <c r="Q64" s="112">
        <v>9782.24</v>
      </c>
      <c r="R64" s="93">
        <f t="shared" si="33"/>
        <v>4155.6099999999997</v>
      </c>
      <c r="S64" s="143">
        <v>-4296176.04</v>
      </c>
      <c r="T64" s="96">
        <v>5000000</v>
      </c>
      <c r="U64" s="144">
        <f t="shared" si="34"/>
        <v>703823.96</v>
      </c>
      <c r="V64" s="147">
        <f t="shared" si="37"/>
        <v>2766.0600460283226</v>
      </c>
      <c r="W64" s="104"/>
      <c r="X64" s="93"/>
      <c r="Y64" s="155"/>
      <c r="Z64" s="152">
        <v>6.5702609242376614E-2</v>
      </c>
      <c r="AA64" s="93"/>
      <c r="AB64" s="90"/>
    </row>
    <row r="65" spans="6:28" x14ac:dyDescent="0.15">
      <c r="F65" s="92">
        <v>34</v>
      </c>
      <c r="G65" s="115">
        <v>2191</v>
      </c>
      <c r="H65" s="157">
        <v>1000000</v>
      </c>
      <c r="I65" s="69"/>
      <c r="J65" s="69"/>
      <c r="K65" s="69"/>
      <c r="L65" s="111">
        <v>2734.6402460458248</v>
      </c>
      <c r="M65" s="111">
        <f t="shared" si="31"/>
        <v>3281.5682952549896</v>
      </c>
      <c r="N65" s="112">
        <v>6332.46</v>
      </c>
      <c r="O65" s="176"/>
      <c r="P65" s="112">
        <f t="shared" si="36"/>
        <v>3117.48988049224</v>
      </c>
      <c r="Q65" s="112">
        <v>12002.08</v>
      </c>
      <c r="R65" s="93">
        <f t="shared" si="33"/>
        <v>5669.62</v>
      </c>
      <c r="S65" s="143">
        <v>-4381604.54</v>
      </c>
      <c r="T65" s="96">
        <v>6000000</v>
      </c>
      <c r="U65" s="144">
        <f t="shared" si="34"/>
        <v>1618395.46</v>
      </c>
      <c r="V65" s="147">
        <f t="shared" si="37"/>
        <v>3117.48988049224</v>
      </c>
      <c r="W65" s="104"/>
      <c r="X65" s="93"/>
      <c r="Y65" s="155"/>
      <c r="Z65" s="152">
        <v>6.7274441999371271E-2</v>
      </c>
      <c r="AA65" s="93"/>
      <c r="AB65" s="90"/>
    </row>
    <row r="66" spans="6:28" x14ac:dyDescent="0.15">
      <c r="F66" s="92">
        <v>35</v>
      </c>
      <c r="G66" s="115">
        <v>2192</v>
      </c>
      <c r="H66" s="157">
        <v>1000000</v>
      </c>
      <c r="I66" s="69"/>
      <c r="J66" s="69"/>
      <c r="K66" s="69"/>
      <c r="L66" s="111">
        <v>3081.8369991767909</v>
      </c>
      <c r="M66" s="111">
        <f t="shared" si="31"/>
        <v>3698.2043990121488</v>
      </c>
      <c r="N66" s="112">
        <v>7124.4</v>
      </c>
      <c r="O66" s="176"/>
      <c r="P66" s="112">
        <f t="shared" si="36"/>
        <v>3513.2941790615409</v>
      </c>
      <c r="Q66" s="112">
        <v>14520</v>
      </c>
      <c r="R66" s="93">
        <f t="shared" si="33"/>
        <v>7395.6</v>
      </c>
      <c r="S66" s="143">
        <v>-4329966.18</v>
      </c>
      <c r="T66" s="96">
        <v>5000000</v>
      </c>
      <c r="U66" s="144">
        <f t="shared" si="34"/>
        <v>670033.8200000003</v>
      </c>
      <c r="V66" s="147">
        <f t="shared" si="37"/>
        <v>3513.2941790615409</v>
      </c>
      <c r="W66" s="104"/>
      <c r="X66" s="93"/>
      <c r="Y66" s="155"/>
      <c r="Z66" s="152">
        <v>5.0613014775227914E-2</v>
      </c>
      <c r="AA66" s="93"/>
      <c r="AB66" s="90"/>
    </row>
    <row r="67" spans="6:28" x14ac:dyDescent="0.15">
      <c r="F67" s="92">
        <v>36</v>
      </c>
      <c r="G67" s="115">
        <v>2209</v>
      </c>
      <c r="H67" s="157">
        <v>1000000</v>
      </c>
      <c r="I67" s="69"/>
      <c r="J67" s="69"/>
      <c r="K67" s="69"/>
      <c r="L67" s="111">
        <v>3472.6364413542733</v>
      </c>
      <c r="M67" s="111">
        <f t="shared" si="31"/>
        <v>4167.1637296251274</v>
      </c>
      <c r="N67" s="112">
        <v>8011.9</v>
      </c>
      <c r="O67" s="176"/>
      <c r="P67" s="112">
        <f>M67*(1-$P$100)</f>
        <v>3833.7906312551172</v>
      </c>
      <c r="Q67" s="112">
        <v>16125.71</v>
      </c>
      <c r="R67" s="93">
        <f t="shared" si="33"/>
        <v>8113.8099999999995</v>
      </c>
      <c r="S67" s="143">
        <v>-4477269.84</v>
      </c>
      <c r="T67" s="96">
        <v>5000000</v>
      </c>
      <c r="U67" s="144">
        <f t="shared" si="34"/>
        <v>522730.16000000015</v>
      </c>
      <c r="V67" s="147">
        <f>M67*(1-$P$100)</f>
        <v>3833.7906312551172</v>
      </c>
      <c r="W67" s="104"/>
      <c r="X67" s="93"/>
      <c r="Y67" s="155"/>
      <c r="Z67" s="152">
        <v>5.5957246149009744E-2</v>
      </c>
      <c r="AA67" s="93"/>
      <c r="AB67" s="90"/>
    </row>
    <row r="68" spans="6:28" x14ac:dyDescent="0.15">
      <c r="F68" s="92">
        <v>37</v>
      </c>
      <c r="G68" s="115">
        <v>2109</v>
      </c>
      <c r="H68" s="157">
        <v>1000000</v>
      </c>
      <c r="I68" s="69"/>
      <c r="J68" s="69"/>
      <c r="K68" s="69"/>
      <c r="L68" s="111">
        <v>3958.6347248766219</v>
      </c>
      <c r="M68" s="111">
        <f t="shared" si="31"/>
        <v>4750.3616698519463</v>
      </c>
      <c r="N68" s="112">
        <v>9111.7900000000009</v>
      </c>
      <c r="O68" s="176"/>
      <c r="P68" s="112">
        <f t="shared" ref="P68:P71" si="38">M68*(1-$P$100)</f>
        <v>4370.332736263791</v>
      </c>
      <c r="Q68" s="112">
        <v>19738.740000000002</v>
      </c>
      <c r="R68" s="93">
        <f t="shared" si="33"/>
        <v>10626.95</v>
      </c>
      <c r="S68" s="143">
        <v>-5362739.42</v>
      </c>
      <c r="T68" s="96">
        <v>4000000</v>
      </c>
      <c r="U68" s="144">
        <f t="shared" si="34"/>
        <v>-1362739.42</v>
      </c>
      <c r="V68" s="147">
        <f t="shared" ref="V68:V71" si="39">M68*(1-$P$100)</f>
        <v>4370.332736263791</v>
      </c>
      <c r="W68" s="104"/>
      <c r="X68" s="93"/>
      <c r="Y68" s="155"/>
      <c r="Z68" s="152">
        <v>5.1556114429424711E-2</v>
      </c>
      <c r="AA68" s="93"/>
      <c r="AB68" s="90"/>
    </row>
    <row r="69" spans="6:28" x14ac:dyDescent="0.15">
      <c r="F69" s="92">
        <v>38</v>
      </c>
      <c r="G69" s="115">
        <v>1963</v>
      </c>
      <c r="H69" s="157">
        <v>1000000</v>
      </c>
      <c r="I69" s="69"/>
      <c r="J69" s="69"/>
      <c r="K69" s="69"/>
      <c r="L69" s="111">
        <v>4499.4013239770993</v>
      </c>
      <c r="M69" s="111">
        <f t="shared" si="31"/>
        <v>5399.2815887725192</v>
      </c>
      <c r="N69" s="112">
        <v>10328.48</v>
      </c>
      <c r="O69" s="176"/>
      <c r="P69" s="112">
        <f t="shared" si="38"/>
        <v>4967.3390616707175</v>
      </c>
      <c r="Q69" s="112">
        <v>22540.35</v>
      </c>
      <c r="R69" s="93">
        <f t="shared" si="33"/>
        <v>12211.869999999999</v>
      </c>
      <c r="S69" s="143">
        <v>-6340386.75</v>
      </c>
      <c r="T69" s="96">
        <v>5000000</v>
      </c>
      <c r="U69" s="144">
        <f t="shared" si="34"/>
        <v>-1340386.75</v>
      </c>
      <c r="V69" s="147">
        <f t="shared" si="39"/>
        <v>4967.3390616707175</v>
      </c>
      <c r="W69" s="104"/>
      <c r="X69" s="93"/>
      <c r="Y69" s="155"/>
      <c r="Z69" s="152">
        <v>5.0927381326626844E-2</v>
      </c>
      <c r="AA69" s="93"/>
      <c r="AB69" s="90"/>
    </row>
    <row r="70" spans="6:28" x14ac:dyDescent="0.15">
      <c r="F70" s="92">
        <v>39</v>
      </c>
      <c r="G70" s="115">
        <v>1786</v>
      </c>
      <c r="H70" s="157">
        <v>1000000</v>
      </c>
      <c r="I70" s="69"/>
      <c r="J70" s="69"/>
      <c r="K70" s="69"/>
      <c r="L70" s="111">
        <v>5101.3499985177059</v>
      </c>
      <c r="M70" s="111">
        <f t="shared" si="31"/>
        <v>6121.6199982212465</v>
      </c>
      <c r="N70" s="112">
        <v>11673.37</v>
      </c>
      <c r="O70" s="176"/>
      <c r="P70" s="112">
        <f t="shared" si="38"/>
        <v>5631.8903983635473</v>
      </c>
      <c r="Q70" s="112">
        <v>25617.3</v>
      </c>
      <c r="R70" s="93">
        <f>Q70-N70</f>
        <v>13943.929999999998</v>
      </c>
      <c r="S70" s="143">
        <v>-6313394.6699999999</v>
      </c>
      <c r="T70" s="96">
        <v>5000000</v>
      </c>
      <c r="U70" s="144">
        <f t="shared" si="34"/>
        <v>-1313394.67</v>
      </c>
      <c r="V70" s="147">
        <f t="shared" si="39"/>
        <v>5631.8903983635473</v>
      </c>
      <c r="W70" s="104"/>
      <c r="X70" s="93"/>
      <c r="Y70" s="155"/>
      <c r="Z70" s="152">
        <v>4.9355548569632188E-2</v>
      </c>
      <c r="AA70" s="93"/>
      <c r="AB70" s="90"/>
    </row>
    <row r="71" spans="6:28" x14ac:dyDescent="0.15">
      <c r="F71" s="92">
        <v>40</v>
      </c>
      <c r="G71" s="115">
        <v>1705</v>
      </c>
      <c r="H71" s="157">
        <v>1000000</v>
      </c>
      <c r="I71" s="69"/>
      <c r="J71" s="69"/>
      <c r="K71" s="69"/>
      <c r="L71" s="111">
        <v>5775.4667355480506</v>
      </c>
      <c r="M71" s="111">
        <f t="shared" si="31"/>
        <v>6930.5600826576601</v>
      </c>
      <c r="N71" s="112">
        <v>13167.53</v>
      </c>
      <c r="O71" s="177"/>
      <c r="P71" s="112">
        <f t="shared" si="38"/>
        <v>6376.1152760450477</v>
      </c>
      <c r="Q71" s="113">
        <v>29024.2</v>
      </c>
      <c r="R71" s="93">
        <f t="shared" si="33"/>
        <v>15856.67</v>
      </c>
      <c r="S71" s="145">
        <v>-6526184.4199999999</v>
      </c>
      <c r="T71" s="96">
        <v>9000000</v>
      </c>
      <c r="U71" s="144">
        <f t="shared" si="34"/>
        <v>2473815.58</v>
      </c>
      <c r="V71" s="147">
        <f t="shared" si="39"/>
        <v>6376.1152760450477</v>
      </c>
      <c r="W71" s="104"/>
      <c r="X71" s="93"/>
      <c r="Y71" s="155"/>
      <c r="Z71" s="152">
        <v>3.9924552027664255E-2</v>
      </c>
      <c r="AA71" s="93"/>
      <c r="AB71" s="90"/>
    </row>
    <row r="72" spans="6:28" ht="42" x14ac:dyDescent="0.15">
      <c r="F72" s="108"/>
      <c r="G72" s="108"/>
      <c r="H72" s="108"/>
      <c r="I72" s="108"/>
      <c r="J72" s="108"/>
      <c r="K72" s="108"/>
      <c r="L72" s="108"/>
      <c r="M72" s="108"/>
      <c r="N72" s="109">
        <f>SUMPRODUCT(N57:N71,Z57:Z71)*100</f>
        <v>597988.13957874884</v>
      </c>
      <c r="O72" s="134"/>
      <c r="P72" s="109"/>
      <c r="Q72" s="109">
        <f>SUMPRODUCT(Q57:Q71,Z57:Z71)*100</f>
        <v>1115687.8418736248</v>
      </c>
      <c r="R72" s="109">
        <f>SUM(R57:R71)</f>
        <v>93028.059999999983</v>
      </c>
      <c r="S72" s="135"/>
      <c r="T72" s="136">
        <f>SUM(T57:T71)</f>
        <v>84000000</v>
      </c>
      <c r="U72" s="120">
        <f>SUM(U57:U71)</f>
        <v>15525683.800000003</v>
      </c>
      <c r="V72" s="151" t="s">
        <v>99</v>
      </c>
      <c r="W72" s="133">
        <f>SUMPRODUCT(W57:W71,Z57:Z71)*100</f>
        <v>0</v>
      </c>
      <c r="X72" s="90"/>
      <c r="Y72" s="100">
        <f>SUMPRODUCT(Z57:Z71,Y57:Y71)*100</f>
        <v>0</v>
      </c>
      <c r="AB72" s="90"/>
    </row>
    <row r="73" spans="6:28" x14ac:dyDescent="0.15">
      <c r="F73" s="146"/>
      <c r="G73" s="63"/>
      <c r="H73" s="120"/>
      <c r="L73" s="150"/>
      <c r="M73" s="96"/>
      <c r="N73" s="116"/>
      <c r="O73" s="116"/>
      <c r="P73" s="90"/>
      <c r="Q73" s="90"/>
      <c r="R73" s="90"/>
      <c r="S73" s="133"/>
      <c r="T73" s="96"/>
      <c r="U73" s="120"/>
      <c r="W73" s="149"/>
      <c r="X73" s="138"/>
    </row>
    <row r="74" spans="6:28" x14ac:dyDescent="0.15">
      <c r="F74" s="146"/>
      <c r="G74" s="63"/>
      <c r="H74" s="120"/>
      <c r="L74" s="62"/>
      <c r="N74" s="116"/>
      <c r="O74" s="116"/>
      <c r="P74" s="90"/>
      <c r="Q74" s="90"/>
      <c r="R74" s="90"/>
      <c r="S74" s="133"/>
      <c r="T74" s="96"/>
      <c r="U74" s="162">
        <f>U72/T72</f>
        <v>0.18482956904761907</v>
      </c>
      <c r="V74" s="138"/>
      <c r="W74" s="133"/>
      <c r="X74" s="90"/>
      <c r="Y74" s="103">
        <f>(Y72-N72)/N72</f>
        <v>-1</v>
      </c>
    </row>
    <row r="75" spans="6:28" x14ac:dyDescent="0.15">
      <c r="G75" s="63"/>
      <c r="H75" s="123"/>
      <c r="L75" s="62"/>
      <c r="N75" s="116"/>
      <c r="O75" s="116"/>
      <c r="P75" s="90"/>
      <c r="Q75" s="90"/>
      <c r="R75" s="138"/>
      <c r="S75" s="133"/>
      <c r="T75" s="96"/>
      <c r="U75" s="120"/>
      <c r="W75" s="133"/>
      <c r="X75" s="90"/>
    </row>
    <row r="76" spans="6:28" x14ac:dyDescent="0.15">
      <c r="G76" s="63"/>
      <c r="H76" s="123"/>
      <c r="L76" s="62"/>
      <c r="N76" s="116"/>
      <c r="O76" s="116"/>
      <c r="P76" s="90"/>
      <c r="Q76" s="90"/>
      <c r="R76" s="90"/>
      <c r="S76" s="133"/>
      <c r="U76" s="138"/>
      <c r="W76" s="133"/>
      <c r="X76" s="137"/>
      <c r="Y76" t="e">
        <v>#N/A</v>
      </c>
    </row>
    <row r="77" spans="6:28" hidden="1" x14ac:dyDescent="0.15">
      <c r="J77">
        <v>2000000</v>
      </c>
      <c r="K77">
        <v>78900000</v>
      </c>
      <c r="L77">
        <v>3514.3741979365782</v>
      </c>
      <c r="M77">
        <v>4217.249037523894</v>
      </c>
      <c r="N77">
        <v>7359.32</v>
      </c>
      <c r="O77" s="90">
        <v>18538.669999999998</v>
      </c>
      <c r="P77" s="90">
        <f t="shared" ref="P77:P96" si="40">O77-N77</f>
        <v>11179.349999999999</v>
      </c>
      <c r="Q77" s="90">
        <f t="shared" ref="Q77:Q96" si="41">P77/2</f>
        <v>5589.6749999999993</v>
      </c>
      <c r="R77" s="90">
        <f t="shared" ref="R77:R96" si="42">P77-Q77</f>
        <v>5589.6749999999993</v>
      </c>
      <c r="V77" s="147">
        <f t="shared" ref="V77:V96" si="43">M77*(1-P118)</f>
        <v>4217.249037523894</v>
      </c>
      <c r="W77" s="90">
        <f t="shared" ref="W77:W96" si="44">O77-V77</f>
        <v>14321.420962476104</v>
      </c>
      <c r="X77" s="90">
        <f t="shared" ref="X77:X96" si="45">O77-W77</f>
        <v>4217.249037523894</v>
      </c>
    </row>
    <row r="78" spans="6:28" hidden="1" x14ac:dyDescent="0.15">
      <c r="J78">
        <v>2000000</v>
      </c>
      <c r="K78">
        <v>78950000</v>
      </c>
      <c r="L78">
        <v>3752.6104217112379</v>
      </c>
      <c r="M78">
        <v>4503.1325060534855</v>
      </c>
      <c r="N78">
        <v>7823.02</v>
      </c>
      <c r="O78" s="90">
        <v>19872.939999999999</v>
      </c>
      <c r="P78" s="90">
        <f t="shared" si="40"/>
        <v>12049.919999999998</v>
      </c>
      <c r="Q78" s="90">
        <f t="shared" si="41"/>
        <v>6024.9599999999991</v>
      </c>
      <c r="R78" s="90">
        <f t="shared" si="42"/>
        <v>6024.9599999999991</v>
      </c>
      <c r="V78" s="69">
        <f t="shared" si="43"/>
        <v>4503.1325060534855</v>
      </c>
      <c r="W78" s="90">
        <f t="shared" si="44"/>
        <v>15369.807493946513</v>
      </c>
      <c r="X78" s="90">
        <f t="shared" si="45"/>
        <v>4503.1325060534855</v>
      </c>
    </row>
    <row r="79" spans="6:28" hidden="1" x14ac:dyDescent="0.15">
      <c r="J79">
        <v>2000000</v>
      </c>
      <c r="K79">
        <v>83650000</v>
      </c>
      <c r="L79">
        <v>4967.5352552388194</v>
      </c>
      <c r="M79">
        <v>5961.042306286583</v>
      </c>
      <c r="N79">
        <v>10305.81</v>
      </c>
      <c r="O79" s="90">
        <v>26932.49</v>
      </c>
      <c r="P79" s="90">
        <f t="shared" si="40"/>
        <v>16626.68</v>
      </c>
      <c r="Q79" s="90">
        <f t="shared" si="41"/>
        <v>8313.34</v>
      </c>
      <c r="R79" s="90">
        <f t="shared" si="42"/>
        <v>8313.34</v>
      </c>
      <c r="V79" s="69">
        <f t="shared" si="43"/>
        <v>5961.042306286583</v>
      </c>
      <c r="W79" s="90">
        <f t="shared" si="44"/>
        <v>20971.447693713417</v>
      </c>
      <c r="X79" s="90">
        <f t="shared" si="45"/>
        <v>5961.0423062865848</v>
      </c>
    </row>
    <row r="80" spans="6:28" hidden="1" x14ac:dyDescent="0.15">
      <c r="J80">
        <v>2000000</v>
      </c>
      <c r="K80">
        <v>86450000</v>
      </c>
      <c r="L80">
        <v>4961.1386731675329</v>
      </c>
      <c r="M80">
        <v>5953.3664078010397</v>
      </c>
      <c r="N80">
        <v>10239.01</v>
      </c>
      <c r="O80" s="90">
        <v>26778.42</v>
      </c>
      <c r="P80" s="90">
        <f t="shared" si="40"/>
        <v>16539.409999999996</v>
      </c>
      <c r="Q80" s="90">
        <f t="shared" si="41"/>
        <v>8269.7049999999981</v>
      </c>
      <c r="R80" s="90">
        <f t="shared" si="42"/>
        <v>8269.7049999999981</v>
      </c>
      <c r="V80" s="69">
        <f t="shared" si="43"/>
        <v>5953.3664078010397</v>
      </c>
      <c r="W80" s="90">
        <f t="shared" si="44"/>
        <v>20825.053592198958</v>
      </c>
      <c r="X80" s="90">
        <f t="shared" si="45"/>
        <v>5953.3664078010406</v>
      </c>
    </row>
    <row r="81" spans="10:24" hidden="1" x14ac:dyDescent="0.15">
      <c r="J81">
        <v>2000000</v>
      </c>
      <c r="K81">
        <v>81400000</v>
      </c>
      <c r="L81">
        <v>5695.2808248776264</v>
      </c>
      <c r="M81">
        <v>6834.3369898531519</v>
      </c>
      <c r="N81">
        <v>11688.48</v>
      </c>
      <c r="O81" s="90">
        <v>30932.38</v>
      </c>
      <c r="P81" s="90">
        <f t="shared" si="40"/>
        <v>19243.900000000001</v>
      </c>
      <c r="Q81" s="90">
        <f t="shared" si="41"/>
        <v>9621.9500000000007</v>
      </c>
      <c r="R81" s="90">
        <f t="shared" si="42"/>
        <v>9621.9500000000007</v>
      </c>
      <c r="V81" s="69">
        <f t="shared" si="43"/>
        <v>6834.3369898531519</v>
      </c>
      <c r="W81" s="90">
        <f t="shared" si="44"/>
        <v>24098.043010146848</v>
      </c>
      <c r="X81" s="90">
        <f t="shared" si="45"/>
        <v>6834.3369898531528</v>
      </c>
    </row>
    <row r="82" spans="10:24" hidden="1" x14ac:dyDescent="0.15">
      <c r="J82">
        <v>2000000</v>
      </c>
      <c r="K82">
        <v>95950000</v>
      </c>
      <c r="L82">
        <v>5926.6911947945528</v>
      </c>
      <c r="M82">
        <v>7112.0294337534633</v>
      </c>
      <c r="N82">
        <v>12090.17</v>
      </c>
      <c r="O82" s="90">
        <v>32119.67</v>
      </c>
      <c r="P82" s="90">
        <f t="shared" si="40"/>
        <v>20029.5</v>
      </c>
      <c r="Q82" s="90">
        <f t="shared" si="41"/>
        <v>10014.75</v>
      </c>
      <c r="R82" s="90">
        <f t="shared" si="42"/>
        <v>10014.75</v>
      </c>
      <c r="V82" s="69">
        <f t="shared" si="43"/>
        <v>7112.0294337534633</v>
      </c>
      <c r="W82" s="90">
        <f t="shared" si="44"/>
        <v>25007.640566246533</v>
      </c>
      <c r="X82" s="90">
        <f t="shared" si="45"/>
        <v>7112.0294337534651</v>
      </c>
    </row>
    <row r="83" spans="10:24" hidden="1" x14ac:dyDescent="0.15">
      <c r="J83">
        <v>2000000</v>
      </c>
      <c r="K83">
        <v>93350000</v>
      </c>
      <c r="L83">
        <v>7318.8929509180289</v>
      </c>
      <c r="M83">
        <v>8782.6715411016339</v>
      </c>
      <c r="N83">
        <v>14833.58</v>
      </c>
      <c r="O83" s="90">
        <v>39980.589999999997</v>
      </c>
      <c r="P83" s="90">
        <f t="shared" si="40"/>
        <v>25147.009999999995</v>
      </c>
      <c r="Q83" s="90">
        <f t="shared" si="41"/>
        <v>12573.504999999997</v>
      </c>
      <c r="R83" s="90">
        <f t="shared" si="42"/>
        <v>12573.504999999997</v>
      </c>
      <c r="V83" s="69">
        <f t="shared" si="43"/>
        <v>8782.6715411016339</v>
      </c>
      <c r="W83" s="90">
        <f t="shared" si="44"/>
        <v>31197.918458898363</v>
      </c>
      <c r="X83" s="90">
        <f t="shared" si="45"/>
        <v>8782.6715411016339</v>
      </c>
    </row>
    <row r="84" spans="10:24" hidden="1" x14ac:dyDescent="0.15">
      <c r="J84">
        <v>2000000</v>
      </c>
      <c r="K84">
        <v>100950000</v>
      </c>
      <c r="L84">
        <v>6785.9598191051518</v>
      </c>
      <c r="M84">
        <v>8143.151782926182</v>
      </c>
      <c r="N84">
        <v>13658.1</v>
      </c>
      <c r="O84" s="90">
        <v>36688.6</v>
      </c>
      <c r="P84" s="90">
        <f t="shared" si="40"/>
        <v>23030.5</v>
      </c>
      <c r="Q84" s="90">
        <f t="shared" si="41"/>
        <v>11515.25</v>
      </c>
      <c r="R84" s="90">
        <f t="shared" si="42"/>
        <v>11515.25</v>
      </c>
      <c r="V84" s="69">
        <f t="shared" si="43"/>
        <v>8143.151782926182</v>
      </c>
      <c r="W84" s="90">
        <f t="shared" si="44"/>
        <v>28545.448217073816</v>
      </c>
      <c r="X84" s="90">
        <f t="shared" si="45"/>
        <v>8143.1517829261829</v>
      </c>
    </row>
    <row r="85" spans="10:24" hidden="1" x14ac:dyDescent="0.15">
      <c r="J85">
        <v>2000000</v>
      </c>
      <c r="K85">
        <v>119400000</v>
      </c>
      <c r="L85">
        <v>8629.3983906870544</v>
      </c>
      <c r="M85">
        <v>10355.278068824466</v>
      </c>
      <c r="N85">
        <v>17238.8</v>
      </c>
      <c r="O85" s="90">
        <v>46969.77</v>
      </c>
      <c r="P85" s="90">
        <f t="shared" si="40"/>
        <v>29730.969999999998</v>
      </c>
      <c r="Q85" s="90">
        <f t="shared" si="41"/>
        <v>14865.484999999999</v>
      </c>
      <c r="R85" s="90">
        <f t="shared" si="42"/>
        <v>14865.484999999999</v>
      </c>
      <c r="V85" s="69">
        <f t="shared" si="43"/>
        <v>10355.278068824466</v>
      </c>
      <c r="W85" s="90">
        <f t="shared" si="44"/>
        <v>36614.491931175529</v>
      </c>
      <c r="X85" s="90">
        <f t="shared" si="45"/>
        <v>10355.278068824467</v>
      </c>
    </row>
    <row r="86" spans="10:24" hidden="1" x14ac:dyDescent="0.15">
      <c r="J86">
        <v>2000000</v>
      </c>
      <c r="K86">
        <v>145250000</v>
      </c>
      <c r="L86">
        <v>9590.6798828618575</v>
      </c>
      <c r="M86">
        <v>11508.815859434229</v>
      </c>
      <c r="N86">
        <v>19005.62</v>
      </c>
      <c r="O86" s="90">
        <v>52090.91</v>
      </c>
      <c r="P86" s="90">
        <f t="shared" si="40"/>
        <v>33085.290000000008</v>
      </c>
      <c r="Q86" s="90">
        <f t="shared" si="41"/>
        <v>16542.645000000004</v>
      </c>
      <c r="R86" s="90">
        <f t="shared" si="42"/>
        <v>16542.645000000004</v>
      </c>
      <c r="V86" s="69">
        <f t="shared" si="43"/>
        <v>11508.815859434229</v>
      </c>
      <c r="W86" s="90">
        <f t="shared" si="44"/>
        <v>40582.094140565772</v>
      </c>
      <c r="X86" s="90">
        <f t="shared" si="45"/>
        <v>11508.815859434231</v>
      </c>
    </row>
    <row r="87" spans="10:24" hidden="1" x14ac:dyDescent="0.15">
      <c r="J87">
        <v>2000000</v>
      </c>
      <c r="K87">
        <v>40150000</v>
      </c>
      <c r="L87">
        <v>17263.223798517243</v>
      </c>
      <c r="M87">
        <v>20715.868558220693</v>
      </c>
      <c r="N87">
        <v>55921.81</v>
      </c>
      <c r="O87" s="90">
        <v>109756.48</v>
      </c>
      <c r="P87" s="90">
        <f t="shared" si="40"/>
        <v>53834.67</v>
      </c>
      <c r="Q87" s="90">
        <f t="shared" si="41"/>
        <v>26917.334999999999</v>
      </c>
      <c r="R87" s="90">
        <f t="shared" si="42"/>
        <v>26917.334999999999</v>
      </c>
      <c r="V87" s="69">
        <f t="shared" si="43"/>
        <v>20715.868558220693</v>
      </c>
      <c r="W87" s="90">
        <f t="shared" si="44"/>
        <v>89040.6114417793</v>
      </c>
      <c r="X87" s="90">
        <f t="shared" si="45"/>
        <v>20715.868558220696</v>
      </c>
    </row>
    <row r="88" spans="10:24" hidden="1" x14ac:dyDescent="0.15">
      <c r="J88">
        <v>2000000</v>
      </c>
      <c r="K88">
        <v>35200000</v>
      </c>
      <c r="L88">
        <v>15215.680886522881</v>
      </c>
      <c r="M88">
        <v>18258.817063827457</v>
      </c>
      <c r="N88">
        <v>29613.39</v>
      </c>
      <c r="O88" s="90">
        <v>82643.14</v>
      </c>
      <c r="P88" s="90">
        <f t="shared" si="40"/>
        <v>53029.75</v>
      </c>
      <c r="Q88" s="90">
        <f t="shared" si="41"/>
        <v>26514.875</v>
      </c>
      <c r="R88" s="90">
        <f t="shared" si="42"/>
        <v>26514.875</v>
      </c>
      <c r="V88" s="69">
        <f t="shared" si="43"/>
        <v>18258.817063827457</v>
      </c>
      <c r="W88" s="90">
        <f t="shared" si="44"/>
        <v>64384.322936172539</v>
      </c>
      <c r="X88" s="90">
        <f t="shared" si="45"/>
        <v>18258.817063827461</v>
      </c>
    </row>
    <row r="89" spans="10:24" hidden="1" x14ac:dyDescent="0.15">
      <c r="J89">
        <v>2000000</v>
      </c>
      <c r="K89">
        <v>39500000</v>
      </c>
      <c r="L89">
        <v>11792.152687055232</v>
      </c>
      <c r="M89">
        <v>14150.583224466278</v>
      </c>
      <c r="N89">
        <v>9825.0300000000007</v>
      </c>
      <c r="O89" s="90">
        <v>54131.19</v>
      </c>
      <c r="P89" s="90">
        <f t="shared" si="40"/>
        <v>44306.16</v>
      </c>
      <c r="Q89" s="90">
        <f t="shared" si="41"/>
        <v>22153.08</v>
      </c>
      <c r="R89" s="90">
        <f t="shared" si="42"/>
        <v>22153.08</v>
      </c>
      <c r="V89" s="69">
        <f t="shared" si="43"/>
        <v>14150.583224466278</v>
      </c>
      <c r="W89" s="90">
        <f t="shared" si="44"/>
        <v>39980.606775533728</v>
      </c>
      <c r="X89" s="90">
        <f t="shared" si="45"/>
        <v>14150.583224466274</v>
      </c>
    </row>
    <row r="90" spans="10:24" hidden="1" x14ac:dyDescent="0.15">
      <c r="J90">
        <v>2000000</v>
      </c>
      <c r="K90">
        <v>58450000</v>
      </c>
      <c r="L90">
        <v>17804.248107572908</v>
      </c>
      <c r="M90">
        <v>21365.097729087491</v>
      </c>
      <c r="N90">
        <v>33915.11</v>
      </c>
      <c r="O90" s="100">
        <v>95205.87</v>
      </c>
      <c r="P90" s="90">
        <f t="shared" si="40"/>
        <v>61290.759999999995</v>
      </c>
      <c r="Q90" s="90">
        <f t="shared" si="41"/>
        <v>30645.379999999997</v>
      </c>
      <c r="R90" s="90">
        <f t="shared" si="42"/>
        <v>30645.379999999997</v>
      </c>
      <c r="V90" s="69">
        <f t="shared" si="43"/>
        <v>21365.097729087491</v>
      </c>
      <c r="W90" s="90">
        <f t="shared" si="44"/>
        <v>73840.772270912508</v>
      </c>
      <c r="X90" s="90">
        <f t="shared" si="45"/>
        <v>21365.097729087487</v>
      </c>
    </row>
    <row r="91" spans="10:24" hidden="1" x14ac:dyDescent="0.15">
      <c r="J91">
        <v>2000000</v>
      </c>
      <c r="K91">
        <v>54450000</v>
      </c>
      <c r="L91">
        <v>18694.460937437907</v>
      </c>
      <c r="M91">
        <v>22433.353124925488</v>
      </c>
      <c r="N91">
        <v>39164.81</v>
      </c>
      <c r="O91" s="90">
        <v>101707.33</v>
      </c>
      <c r="P91" s="90">
        <f t="shared" si="40"/>
        <v>62542.520000000004</v>
      </c>
      <c r="Q91" s="90">
        <f t="shared" si="41"/>
        <v>31271.260000000002</v>
      </c>
      <c r="R91" s="90">
        <f t="shared" si="42"/>
        <v>31271.260000000002</v>
      </c>
      <c r="V91" s="69">
        <f t="shared" si="43"/>
        <v>22433.353124925488</v>
      </c>
      <c r="W91" s="90">
        <f t="shared" si="44"/>
        <v>79273.976875074513</v>
      </c>
      <c r="X91" s="90">
        <f t="shared" si="45"/>
        <v>22433.353124925488</v>
      </c>
    </row>
    <row r="92" spans="10:24" hidden="1" x14ac:dyDescent="0.15">
      <c r="J92">
        <v>2000000</v>
      </c>
      <c r="K92">
        <v>60250000</v>
      </c>
      <c r="L92">
        <v>21973.4182412298</v>
      </c>
      <c r="M92">
        <v>26368.101889475758</v>
      </c>
      <c r="N92">
        <v>40802.870000000003</v>
      </c>
      <c r="O92" s="90">
        <v>115242.32</v>
      </c>
      <c r="P92" s="90">
        <f t="shared" si="40"/>
        <v>74439.450000000012</v>
      </c>
      <c r="Q92" s="90">
        <f t="shared" si="41"/>
        <v>37219.725000000006</v>
      </c>
      <c r="R92" s="90">
        <f t="shared" si="42"/>
        <v>37219.725000000006</v>
      </c>
      <c r="V92" s="69">
        <f t="shared" si="43"/>
        <v>26368.101889475758</v>
      </c>
      <c r="W92" s="90">
        <f t="shared" si="44"/>
        <v>88874.218110524249</v>
      </c>
      <c r="X92" s="90">
        <f t="shared" si="45"/>
        <v>26368.101889475758</v>
      </c>
    </row>
    <row r="93" spans="10:24" hidden="1" x14ac:dyDescent="0.15">
      <c r="J93">
        <v>2000000</v>
      </c>
      <c r="K93">
        <v>66050000</v>
      </c>
      <c r="L93">
        <v>23159.819114959635</v>
      </c>
      <c r="M93">
        <v>27791.782937951561</v>
      </c>
      <c r="N93">
        <v>29355.79</v>
      </c>
      <c r="O93" s="90">
        <v>119914.43</v>
      </c>
      <c r="P93" s="90">
        <f t="shared" si="40"/>
        <v>90558.639999999985</v>
      </c>
      <c r="Q93" s="90">
        <f t="shared" si="41"/>
        <v>45279.319999999992</v>
      </c>
      <c r="R93" s="90">
        <f t="shared" si="42"/>
        <v>45279.319999999992</v>
      </c>
      <c r="V93" s="69">
        <f t="shared" si="43"/>
        <v>27791.782937951561</v>
      </c>
      <c r="W93" s="90">
        <f t="shared" si="44"/>
        <v>92122.647062048432</v>
      </c>
      <c r="X93" s="90">
        <f t="shared" si="45"/>
        <v>27791.782937951561</v>
      </c>
    </row>
    <row r="94" spans="10:24" hidden="1" x14ac:dyDescent="0.15">
      <c r="J94">
        <v>2000000</v>
      </c>
      <c r="K94">
        <v>85400000</v>
      </c>
      <c r="L94">
        <v>27741.980154201745</v>
      </c>
      <c r="M94">
        <v>33290.376185042092</v>
      </c>
      <c r="N94">
        <v>49959.7</v>
      </c>
      <c r="O94" s="90">
        <v>141902.09</v>
      </c>
      <c r="P94" s="90">
        <f t="shared" si="40"/>
        <v>91942.39</v>
      </c>
      <c r="Q94" s="90">
        <f t="shared" si="41"/>
        <v>45971.195</v>
      </c>
      <c r="R94" s="90">
        <f t="shared" si="42"/>
        <v>45971.195</v>
      </c>
      <c r="V94" s="69">
        <f t="shared" si="43"/>
        <v>33290.376185042092</v>
      </c>
      <c r="W94" s="90">
        <f t="shared" si="44"/>
        <v>108611.71381495791</v>
      </c>
      <c r="X94" s="90">
        <f t="shared" si="45"/>
        <v>33290.376185042085</v>
      </c>
    </row>
    <row r="95" spans="10:24" hidden="1" x14ac:dyDescent="0.15">
      <c r="J95">
        <v>2000000</v>
      </c>
      <c r="K95">
        <v>92600000</v>
      </c>
      <c r="L95">
        <v>26901.280518523039</v>
      </c>
      <c r="M95">
        <v>32281.536622227646</v>
      </c>
      <c r="N95">
        <v>47597.95</v>
      </c>
      <c r="O95" s="90">
        <v>135239.69</v>
      </c>
      <c r="P95" s="90">
        <f t="shared" si="40"/>
        <v>87641.74</v>
      </c>
      <c r="Q95" s="90">
        <f t="shared" si="41"/>
        <v>43820.87</v>
      </c>
      <c r="R95" s="90">
        <f t="shared" si="42"/>
        <v>43820.87</v>
      </c>
      <c r="V95" s="69">
        <f t="shared" si="43"/>
        <v>32281.536622227646</v>
      </c>
      <c r="W95" s="90">
        <f t="shared" si="44"/>
        <v>102958.15337777235</v>
      </c>
      <c r="X95" s="90">
        <f t="shared" si="45"/>
        <v>32281.53662222765</v>
      </c>
    </row>
    <row r="96" spans="10:24" hidden="1" x14ac:dyDescent="0.15">
      <c r="J96">
        <v>2000000</v>
      </c>
      <c r="K96">
        <v>69200000</v>
      </c>
      <c r="L96">
        <v>26930.710620233185</v>
      </c>
      <c r="M96">
        <v>32316.852744279822</v>
      </c>
      <c r="N96">
        <v>46734.22</v>
      </c>
      <c r="O96" s="90">
        <v>132913.60000000001</v>
      </c>
      <c r="P96" s="90">
        <f t="shared" si="40"/>
        <v>86179.38</v>
      </c>
      <c r="Q96" s="90">
        <f t="shared" si="41"/>
        <v>43089.69</v>
      </c>
      <c r="R96" s="90">
        <f t="shared" si="42"/>
        <v>43089.69</v>
      </c>
      <c r="V96" s="69">
        <f t="shared" si="43"/>
        <v>32316.852744279822</v>
      </c>
      <c r="W96" s="90">
        <f t="shared" si="44"/>
        <v>100596.74725572018</v>
      </c>
      <c r="X96" s="90">
        <f t="shared" si="45"/>
        <v>32316.852744279822</v>
      </c>
    </row>
    <row r="97" spans="6:22" ht="28" x14ac:dyDescent="0.15">
      <c r="L97" s="51"/>
      <c r="M97" s="51"/>
      <c r="N97" s="55"/>
      <c r="O97" s="67"/>
      <c r="P97" s="160" t="s">
        <v>100</v>
      </c>
      <c r="S97" s="51"/>
      <c r="T97" s="158"/>
      <c r="U97" s="97"/>
      <c r="V97" s="96"/>
    </row>
    <row r="98" spans="6:22" x14ac:dyDescent="0.15">
      <c r="L98" s="90"/>
      <c r="M98" s="90"/>
      <c r="N98" s="90"/>
      <c r="O98" s="161" t="s">
        <v>101</v>
      </c>
      <c r="P98" s="152">
        <v>0.02</v>
      </c>
      <c r="U98" s="103">
        <f>(SUMPRODUCT(Q57:Q71,Z57:Z71)-SUMPRODUCT(N57:N71,Z57:Z71))/(SUMPRODUCT(N57:N71,Z57:Z71))</f>
        <v>0.86573573626321099</v>
      </c>
      <c r="V98" s="96"/>
    </row>
    <row r="99" spans="6:22" x14ac:dyDescent="0.15">
      <c r="O99" s="67" t="s">
        <v>102</v>
      </c>
      <c r="P99" s="161">
        <v>0.05</v>
      </c>
    </row>
    <row r="100" spans="6:22" x14ac:dyDescent="0.15">
      <c r="O100" s="67" t="s">
        <v>103</v>
      </c>
      <c r="P100" s="161">
        <v>0.08</v>
      </c>
      <c r="U100" s="102"/>
    </row>
    <row r="102" spans="6:22" x14ac:dyDescent="0.15">
      <c r="S102" s="164"/>
    </row>
    <row r="103" spans="6:22" x14ac:dyDescent="0.15">
      <c r="S103" s="164"/>
    </row>
    <row r="104" spans="6:22" x14ac:dyDescent="0.15">
      <c r="F104" s="51"/>
      <c r="S104" s="164"/>
    </row>
    <row r="105" spans="6:22" x14ac:dyDescent="0.15">
      <c r="S105" s="164"/>
    </row>
    <row r="106" spans="6:22" x14ac:dyDescent="0.15">
      <c r="S106" s="164"/>
    </row>
    <row r="107" spans="6:22" x14ac:dyDescent="0.15">
      <c r="S107" s="164"/>
    </row>
    <row r="108" spans="6:22" x14ac:dyDescent="0.15">
      <c r="S108" s="164"/>
    </row>
    <row r="109" spans="6:22" x14ac:dyDescent="0.15">
      <c r="S109" s="164"/>
    </row>
    <row r="110" spans="6:22" x14ac:dyDescent="0.15">
      <c r="S110" s="164"/>
    </row>
    <row r="111" spans="6:22" x14ac:dyDescent="0.15">
      <c r="S111" s="164"/>
    </row>
    <row r="112" spans="6:22" x14ac:dyDescent="0.15">
      <c r="S112" s="164"/>
    </row>
    <row r="113" spans="19:19" x14ac:dyDescent="0.15">
      <c r="S113" s="164"/>
    </row>
    <row r="114" spans="19:19" x14ac:dyDescent="0.15">
      <c r="S114" s="164"/>
    </row>
    <row r="115" spans="19:19" x14ac:dyDescent="0.15">
      <c r="S115" s="164"/>
    </row>
    <row r="116" spans="19:19" x14ac:dyDescent="0.15">
      <c r="S116" s="164"/>
    </row>
  </sheetData>
  <mergeCells count="3">
    <mergeCell ref="AE1:AN1"/>
    <mergeCell ref="S2:X2"/>
    <mergeCell ref="Z2:AC2"/>
  </mergeCells>
  <conditionalFormatting sqref="V56">
    <cfRule type="cellIs" dxfId="2" priority="2" operator="lessThan">
      <formula>0</formula>
    </cfRule>
  </conditionalFormatting>
  <conditionalFormatting sqref="U57:U76">
    <cfRule type="cellIs" dxfId="1" priority="1" operator="lessThan">
      <formula>0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Automate_NPV_With_Reduce">
                <anchor moveWithCells="1" sizeWithCells="1">
                  <from>
                    <xdr:col>2</xdr:col>
                    <xdr:colOff>241300</xdr:colOff>
                    <xdr:row>31</xdr:row>
                    <xdr:rowOff>63500</xdr:rowOff>
                  </from>
                  <to>
                    <xdr:col>3</xdr:col>
                    <xdr:colOff>495300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941A-AA09-C342-B4E8-BD79AB57D717}">
  <sheetPr codeName="Sheet12"/>
  <dimension ref="A2:U45"/>
  <sheetViews>
    <sheetView workbookViewId="0">
      <selection activeCell="A25" sqref="A25"/>
    </sheetView>
  </sheetViews>
  <sheetFormatPr baseColWidth="10" defaultColWidth="11.5" defaultRowHeight="13" x14ac:dyDescent="0.15"/>
  <sheetData>
    <row r="2" spans="1:21" x14ac:dyDescent="0.15">
      <c r="A2" t="s">
        <v>104</v>
      </c>
      <c r="B2">
        <v>2004</v>
      </c>
      <c r="C2">
        <v>2005</v>
      </c>
      <c r="D2">
        <v>2006</v>
      </c>
      <c r="E2">
        <v>2007</v>
      </c>
      <c r="F2">
        <v>2008</v>
      </c>
      <c r="G2">
        <v>2009</v>
      </c>
      <c r="H2">
        <v>2010</v>
      </c>
      <c r="I2">
        <v>2011</v>
      </c>
      <c r="J2">
        <v>2012</v>
      </c>
      <c r="K2">
        <v>2013</v>
      </c>
      <c r="L2">
        <v>2014</v>
      </c>
      <c r="M2">
        <v>2015</v>
      </c>
      <c r="N2">
        <v>2016</v>
      </c>
      <c r="O2">
        <v>2017</v>
      </c>
      <c r="P2">
        <v>2018</v>
      </c>
      <c r="Q2">
        <v>2019</v>
      </c>
      <c r="R2">
        <v>2020</v>
      </c>
      <c r="S2">
        <v>2021</v>
      </c>
      <c r="T2">
        <v>2022</v>
      </c>
      <c r="U2">
        <v>2023</v>
      </c>
    </row>
    <row r="3" spans="1:21" x14ac:dyDescent="0.15">
      <c r="A3">
        <v>26</v>
      </c>
      <c r="B3">
        <v>20</v>
      </c>
      <c r="C3">
        <v>14</v>
      </c>
      <c r="D3">
        <v>11</v>
      </c>
      <c r="E3">
        <v>12</v>
      </c>
      <c r="F3">
        <v>13</v>
      </c>
      <c r="G3">
        <v>14</v>
      </c>
      <c r="H3">
        <v>24</v>
      </c>
      <c r="I3">
        <v>19</v>
      </c>
      <c r="J3">
        <v>16</v>
      </c>
      <c r="K3">
        <v>20</v>
      </c>
      <c r="L3">
        <v>16</v>
      </c>
      <c r="M3">
        <v>18</v>
      </c>
      <c r="N3">
        <v>15</v>
      </c>
      <c r="O3">
        <v>21</v>
      </c>
      <c r="P3">
        <v>15</v>
      </c>
      <c r="Q3">
        <v>21</v>
      </c>
      <c r="R3">
        <v>16</v>
      </c>
      <c r="S3">
        <v>19</v>
      </c>
      <c r="T3">
        <v>11</v>
      </c>
      <c r="U3">
        <v>13</v>
      </c>
    </row>
    <row r="4" spans="1:21" x14ac:dyDescent="0.15">
      <c r="A4">
        <v>27</v>
      </c>
      <c r="B4">
        <v>9</v>
      </c>
      <c r="C4">
        <v>16</v>
      </c>
      <c r="D4">
        <v>20</v>
      </c>
      <c r="E4">
        <v>19</v>
      </c>
      <c r="F4">
        <v>15</v>
      </c>
      <c r="G4">
        <v>19</v>
      </c>
      <c r="H4">
        <v>12</v>
      </c>
      <c r="I4">
        <v>23</v>
      </c>
      <c r="J4">
        <v>24</v>
      </c>
      <c r="K4">
        <v>17</v>
      </c>
      <c r="L4">
        <v>15</v>
      </c>
      <c r="M4">
        <v>11</v>
      </c>
      <c r="N4">
        <v>10</v>
      </c>
      <c r="O4">
        <v>11</v>
      </c>
      <c r="P4">
        <v>17</v>
      </c>
      <c r="Q4">
        <v>23</v>
      </c>
      <c r="R4">
        <v>16</v>
      </c>
      <c r="S4">
        <v>20</v>
      </c>
      <c r="T4">
        <v>12</v>
      </c>
      <c r="U4">
        <v>16</v>
      </c>
    </row>
    <row r="5" spans="1:21" x14ac:dyDescent="0.15">
      <c r="A5">
        <v>28</v>
      </c>
      <c r="B5">
        <v>17</v>
      </c>
      <c r="C5">
        <v>13</v>
      </c>
      <c r="D5">
        <v>10</v>
      </c>
      <c r="E5">
        <v>15</v>
      </c>
      <c r="F5">
        <v>20</v>
      </c>
      <c r="G5">
        <v>14</v>
      </c>
      <c r="H5">
        <v>18</v>
      </c>
      <c r="I5">
        <v>17</v>
      </c>
      <c r="J5">
        <v>19</v>
      </c>
      <c r="K5">
        <v>21</v>
      </c>
      <c r="L5">
        <v>17</v>
      </c>
      <c r="M5">
        <v>18</v>
      </c>
      <c r="N5">
        <v>13</v>
      </c>
      <c r="O5">
        <v>14</v>
      </c>
      <c r="P5">
        <v>21</v>
      </c>
      <c r="Q5">
        <v>23</v>
      </c>
      <c r="R5">
        <v>15</v>
      </c>
      <c r="S5">
        <v>12</v>
      </c>
      <c r="T5">
        <v>10</v>
      </c>
      <c r="U5">
        <v>16</v>
      </c>
    </row>
    <row r="6" spans="1:21" x14ac:dyDescent="0.15">
      <c r="A6">
        <v>29</v>
      </c>
      <c r="B6">
        <v>15</v>
      </c>
      <c r="C6">
        <v>15</v>
      </c>
      <c r="D6">
        <v>17</v>
      </c>
      <c r="E6">
        <v>14</v>
      </c>
      <c r="F6">
        <v>14</v>
      </c>
      <c r="G6">
        <v>15</v>
      </c>
      <c r="H6">
        <v>10</v>
      </c>
      <c r="I6">
        <v>27</v>
      </c>
      <c r="J6">
        <v>11</v>
      </c>
      <c r="K6">
        <v>15</v>
      </c>
      <c r="L6">
        <v>17</v>
      </c>
      <c r="M6">
        <v>19</v>
      </c>
      <c r="N6">
        <v>17</v>
      </c>
      <c r="O6">
        <v>17</v>
      </c>
      <c r="P6">
        <v>11</v>
      </c>
      <c r="Q6">
        <v>23</v>
      </c>
      <c r="R6">
        <v>12</v>
      </c>
      <c r="S6">
        <v>16</v>
      </c>
      <c r="T6">
        <v>14</v>
      </c>
      <c r="U6">
        <v>13</v>
      </c>
    </row>
    <row r="7" spans="1:21" x14ac:dyDescent="0.15">
      <c r="A7">
        <v>30</v>
      </c>
      <c r="B7">
        <v>13</v>
      </c>
      <c r="C7">
        <v>13</v>
      </c>
      <c r="D7">
        <v>18</v>
      </c>
      <c r="E7">
        <v>12</v>
      </c>
      <c r="F7">
        <v>14</v>
      </c>
      <c r="G7">
        <v>15</v>
      </c>
      <c r="H7">
        <v>10</v>
      </c>
      <c r="I7">
        <v>23</v>
      </c>
      <c r="J7">
        <v>9</v>
      </c>
      <c r="K7">
        <v>16</v>
      </c>
      <c r="L7">
        <v>19</v>
      </c>
      <c r="M7">
        <v>17</v>
      </c>
      <c r="N7">
        <v>12</v>
      </c>
      <c r="O7">
        <v>13</v>
      </c>
      <c r="P7">
        <v>15</v>
      </c>
      <c r="Q7">
        <v>13</v>
      </c>
      <c r="R7">
        <v>23</v>
      </c>
      <c r="S7">
        <v>20</v>
      </c>
      <c r="T7">
        <v>18</v>
      </c>
      <c r="U7">
        <v>10</v>
      </c>
    </row>
    <row r="8" spans="1:21" x14ac:dyDescent="0.15">
      <c r="A8">
        <v>31</v>
      </c>
      <c r="B8">
        <v>12</v>
      </c>
      <c r="C8">
        <v>13</v>
      </c>
      <c r="D8">
        <v>15</v>
      </c>
      <c r="E8">
        <v>16</v>
      </c>
      <c r="F8">
        <v>17</v>
      </c>
      <c r="G8">
        <v>13</v>
      </c>
      <c r="H8">
        <v>13</v>
      </c>
      <c r="I8">
        <v>15</v>
      </c>
      <c r="J8">
        <v>20</v>
      </c>
      <c r="K8">
        <v>17</v>
      </c>
      <c r="L8">
        <v>17</v>
      </c>
      <c r="M8">
        <v>16</v>
      </c>
      <c r="N8">
        <v>8</v>
      </c>
      <c r="O8">
        <v>15</v>
      </c>
      <c r="P8">
        <v>11</v>
      </c>
      <c r="Q8">
        <v>19</v>
      </c>
      <c r="R8">
        <v>10</v>
      </c>
      <c r="S8">
        <v>15</v>
      </c>
      <c r="T8">
        <v>19</v>
      </c>
      <c r="U8">
        <v>12</v>
      </c>
    </row>
    <row r="9" spans="1:21" x14ac:dyDescent="0.15">
      <c r="A9">
        <v>32</v>
      </c>
      <c r="B9">
        <v>15</v>
      </c>
      <c r="C9">
        <v>17</v>
      </c>
      <c r="D9">
        <v>12</v>
      </c>
      <c r="E9">
        <v>12</v>
      </c>
      <c r="F9">
        <v>8</v>
      </c>
      <c r="G9">
        <v>16</v>
      </c>
      <c r="H9">
        <v>13</v>
      </c>
      <c r="I9">
        <v>14</v>
      </c>
      <c r="J9">
        <v>12</v>
      </c>
      <c r="K9">
        <v>20</v>
      </c>
      <c r="L9">
        <v>13</v>
      </c>
      <c r="M9">
        <v>6</v>
      </c>
      <c r="N9">
        <v>14</v>
      </c>
      <c r="O9">
        <v>12</v>
      </c>
      <c r="P9">
        <v>9</v>
      </c>
      <c r="Q9">
        <v>17</v>
      </c>
      <c r="R9">
        <v>20</v>
      </c>
      <c r="S9">
        <v>12</v>
      </c>
      <c r="T9">
        <v>9</v>
      </c>
      <c r="U9">
        <v>7</v>
      </c>
    </row>
    <row r="10" spans="1:21" x14ac:dyDescent="0.15">
      <c r="A10">
        <v>33</v>
      </c>
      <c r="B10">
        <v>9</v>
      </c>
      <c r="C10">
        <v>16</v>
      </c>
      <c r="D10">
        <v>10</v>
      </c>
      <c r="E10">
        <v>18</v>
      </c>
      <c r="F10">
        <v>12</v>
      </c>
      <c r="G10">
        <v>16</v>
      </c>
      <c r="H10">
        <v>11</v>
      </c>
      <c r="I10">
        <v>16</v>
      </c>
      <c r="J10">
        <v>11</v>
      </c>
      <c r="K10">
        <v>13</v>
      </c>
      <c r="L10">
        <v>11</v>
      </c>
      <c r="M10">
        <v>14</v>
      </c>
      <c r="N10">
        <v>5</v>
      </c>
      <c r="O10">
        <v>11</v>
      </c>
      <c r="P10">
        <v>14</v>
      </c>
      <c r="Q10">
        <v>13</v>
      </c>
      <c r="R10">
        <v>13</v>
      </c>
      <c r="S10">
        <v>15</v>
      </c>
      <c r="T10">
        <v>5</v>
      </c>
      <c r="U10">
        <v>15</v>
      </c>
    </row>
    <row r="11" spans="1:21" x14ac:dyDescent="0.15">
      <c r="A11">
        <v>34</v>
      </c>
      <c r="B11">
        <v>9</v>
      </c>
      <c r="C11">
        <v>5</v>
      </c>
      <c r="D11">
        <v>11</v>
      </c>
      <c r="E11">
        <v>14</v>
      </c>
      <c r="F11">
        <v>14</v>
      </c>
      <c r="G11">
        <v>14</v>
      </c>
      <c r="H11">
        <v>12</v>
      </c>
      <c r="I11">
        <v>13</v>
      </c>
      <c r="J11">
        <v>19</v>
      </c>
      <c r="K11">
        <v>8</v>
      </c>
      <c r="L11">
        <v>18</v>
      </c>
      <c r="M11">
        <v>10</v>
      </c>
      <c r="N11">
        <v>15</v>
      </c>
      <c r="O11">
        <v>16</v>
      </c>
      <c r="P11">
        <v>18</v>
      </c>
      <c r="Q11">
        <v>9</v>
      </c>
      <c r="R11">
        <v>10</v>
      </c>
      <c r="S11">
        <v>13</v>
      </c>
      <c r="T11">
        <v>10</v>
      </c>
      <c r="U11">
        <v>12</v>
      </c>
    </row>
    <row r="12" spans="1:21" x14ac:dyDescent="0.15">
      <c r="A12">
        <v>35</v>
      </c>
      <c r="B12">
        <v>9</v>
      </c>
      <c r="C12">
        <v>11</v>
      </c>
      <c r="D12">
        <v>8</v>
      </c>
      <c r="E12">
        <v>8</v>
      </c>
      <c r="F12">
        <v>12</v>
      </c>
      <c r="G12">
        <v>16</v>
      </c>
      <c r="H12">
        <v>11</v>
      </c>
      <c r="I12">
        <v>17</v>
      </c>
      <c r="J12">
        <v>10</v>
      </c>
      <c r="K12">
        <v>7</v>
      </c>
      <c r="L12">
        <v>11</v>
      </c>
      <c r="M12">
        <v>16</v>
      </c>
      <c r="N12">
        <v>7</v>
      </c>
      <c r="O12">
        <v>9</v>
      </c>
      <c r="P12">
        <v>11</v>
      </c>
      <c r="Q12">
        <v>7</v>
      </c>
      <c r="R12">
        <v>8</v>
      </c>
      <c r="S12">
        <v>5</v>
      </c>
      <c r="T12">
        <v>6</v>
      </c>
      <c r="U12">
        <v>4</v>
      </c>
    </row>
    <row r="13" spans="1:21" x14ac:dyDescent="0.15">
      <c r="A13">
        <v>36</v>
      </c>
      <c r="B13">
        <v>8</v>
      </c>
      <c r="C13">
        <v>4</v>
      </c>
      <c r="D13">
        <v>8</v>
      </c>
      <c r="E13">
        <v>10</v>
      </c>
      <c r="F13">
        <v>14</v>
      </c>
      <c r="G13">
        <v>6</v>
      </c>
      <c r="H13">
        <v>14</v>
      </c>
      <c r="I13">
        <v>17</v>
      </c>
      <c r="J13">
        <v>16</v>
      </c>
      <c r="K13">
        <v>13</v>
      </c>
      <c r="L13">
        <v>7</v>
      </c>
      <c r="M13">
        <v>10</v>
      </c>
      <c r="N13">
        <v>10</v>
      </c>
      <c r="O13">
        <v>11</v>
      </c>
      <c r="P13">
        <v>8</v>
      </c>
      <c r="Q13">
        <v>12</v>
      </c>
      <c r="R13">
        <v>12</v>
      </c>
      <c r="S13">
        <v>11</v>
      </c>
      <c r="T13">
        <v>5</v>
      </c>
      <c r="U13">
        <v>12</v>
      </c>
    </row>
    <row r="14" spans="1:21" x14ac:dyDescent="0.15">
      <c r="A14">
        <v>37</v>
      </c>
      <c r="B14">
        <v>10</v>
      </c>
      <c r="C14">
        <v>11</v>
      </c>
      <c r="D14">
        <v>10</v>
      </c>
      <c r="E14">
        <v>10</v>
      </c>
      <c r="F14">
        <v>14</v>
      </c>
      <c r="G14">
        <v>11</v>
      </c>
      <c r="H14">
        <v>8</v>
      </c>
      <c r="I14">
        <v>9</v>
      </c>
      <c r="J14">
        <v>11</v>
      </c>
      <c r="K14">
        <v>12</v>
      </c>
      <c r="L14">
        <v>12</v>
      </c>
      <c r="M14">
        <v>14</v>
      </c>
      <c r="N14">
        <v>7</v>
      </c>
      <c r="O14">
        <v>10</v>
      </c>
      <c r="P14">
        <v>6</v>
      </c>
      <c r="Q14">
        <v>7</v>
      </c>
      <c r="R14">
        <v>5</v>
      </c>
      <c r="S14">
        <v>11</v>
      </c>
      <c r="T14">
        <v>7</v>
      </c>
      <c r="U14">
        <v>6</v>
      </c>
    </row>
    <row r="15" spans="1:21" x14ac:dyDescent="0.15">
      <c r="A15">
        <v>38</v>
      </c>
      <c r="B15">
        <v>11</v>
      </c>
      <c r="C15">
        <v>14</v>
      </c>
      <c r="D15">
        <v>14</v>
      </c>
      <c r="E15">
        <v>9</v>
      </c>
      <c r="F15">
        <v>8</v>
      </c>
      <c r="G15">
        <v>8</v>
      </c>
      <c r="H15">
        <v>11</v>
      </c>
      <c r="I15">
        <v>14</v>
      </c>
      <c r="J15">
        <v>11</v>
      </c>
      <c r="K15">
        <v>13</v>
      </c>
      <c r="L15">
        <v>9</v>
      </c>
      <c r="M15">
        <v>10</v>
      </c>
      <c r="N15">
        <v>9</v>
      </c>
      <c r="O15">
        <v>7</v>
      </c>
      <c r="P15">
        <v>9</v>
      </c>
      <c r="Q15">
        <v>8</v>
      </c>
      <c r="R15">
        <v>5</v>
      </c>
      <c r="S15">
        <v>14</v>
      </c>
      <c r="T15">
        <v>3</v>
      </c>
      <c r="U15">
        <v>7</v>
      </c>
    </row>
    <row r="16" spans="1:21" x14ac:dyDescent="0.15">
      <c r="A16">
        <v>39</v>
      </c>
      <c r="B16">
        <v>14</v>
      </c>
      <c r="C16">
        <v>3</v>
      </c>
      <c r="D16">
        <v>9</v>
      </c>
      <c r="E16">
        <v>7</v>
      </c>
      <c r="F16">
        <v>17</v>
      </c>
      <c r="G16">
        <v>10</v>
      </c>
      <c r="H16">
        <v>9</v>
      </c>
      <c r="I16">
        <v>11</v>
      </c>
      <c r="J16">
        <v>13</v>
      </c>
      <c r="K16">
        <v>11</v>
      </c>
      <c r="L16">
        <v>2</v>
      </c>
      <c r="M16">
        <v>8</v>
      </c>
      <c r="N16">
        <v>10</v>
      </c>
      <c r="O16">
        <v>8</v>
      </c>
      <c r="P16">
        <v>11</v>
      </c>
      <c r="Q16">
        <v>10</v>
      </c>
      <c r="R16">
        <v>8</v>
      </c>
      <c r="S16">
        <v>6</v>
      </c>
      <c r="T16">
        <v>7</v>
      </c>
      <c r="U16">
        <v>10</v>
      </c>
    </row>
    <row r="17" spans="1:21" x14ac:dyDescent="0.15">
      <c r="A17">
        <v>40</v>
      </c>
      <c r="B17">
        <v>8</v>
      </c>
      <c r="C17">
        <v>10</v>
      </c>
      <c r="D17">
        <v>9</v>
      </c>
      <c r="E17">
        <v>11</v>
      </c>
      <c r="F17">
        <v>12</v>
      </c>
      <c r="G17">
        <v>3</v>
      </c>
      <c r="H17">
        <v>7</v>
      </c>
      <c r="I17">
        <v>12</v>
      </c>
      <c r="J17">
        <v>8</v>
      </c>
      <c r="K17">
        <v>7</v>
      </c>
      <c r="L17">
        <v>12</v>
      </c>
      <c r="M17">
        <v>5</v>
      </c>
      <c r="N17">
        <v>8</v>
      </c>
      <c r="O17">
        <v>6</v>
      </c>
      <c r="P17">
        <v>9</v>
      </c>
      <c r="Q17">
        <v>4</v>
      </c>
      <c r="R17">
        <v>15</v>
      </c>
      <c r="S17">
        <v>7</v>
      </c>
      <c r="T17">
        <v>5</v>
      </c>
      <c r="U17">
        <v>3</v>
      </c>
    </row>
    <row r="18" spans="1:21" x14ac:dyDescent="0.15">
      <c r="A18">
        <v>41</v>
      </c>
      <c r="B18">
        <v>6</v>
      </c>
      <c r="C18">
        <v>6</v>
      </c>
      <c r="D18">
        <v>4</v>
      </c>
      <c r="E18">
        <v>6</v>
      </c>
      <c r="F18">
        <v>11</v>
      </c>
      <c r="G18">
        <v>10</v>
      </c>
      <c r="H18">
        <v>9</v>
      </c>
      <c r="I18">
        <v>5</v>
      </c>
      <c r="J18">
        <v>10</v>
      </c>
      <c r="K18">
        <v>5</v>
      </c>
      <c r="L18">
        <v>7</v>
      </c>
      <c r="M18">
        <v>11</v>
      </c>
      <c r="N18">
        <v>11</v>
      </c>
      <c r="O18">
        <v>8</v>
      </c>
      <c r="P18">
        <v>7</v>
      </c>
      <c r="Q18">
        <v>7</v>
      </c>
      <c r="R18">
        <v>6</v>
      </c>
      <c r="S18">
        <v>14</v>
      </c>
      <c r="T18">
        <v>8</v>
      </c>
      <c r="U18">
        <v>3</v>
      </c>
    </row>
    <row r="19" spans="1:21" x14ac:dyDescent="0.15">
      <c r="A19">
        <v>42</v>
      </c>
      <c r="B19">
        <v>14</v>
      </c>
      <c r="C19">
        <v>7</v>
      </c>
      <c r="D19">
        <v>11</v>
      </c>
      <c r="E19">
        <v>13</v>
      </c>
      <c r="F19">
        <v>8</v>
      </c>
      <c r="G19">
        <v>14</v>
      </c>
      <c r="H19">
        <v>6</v>
      </c>
      <c r="I19">
        <v>12</v>
      </c>
      <c r="J19">
        <v>9</v>
      </c>
      <c r="K19">
        <v>12</v>
      </c>
      <c r="L19">
        <v>7</v>
      </c>
      <c r="M19">
        <v>7</v>
      </c>
      <c r="N19">
        <v>8</v>
      </c>
      <c r="O19">
        <v>10</v>
      </c>
      <c r="P19">
        <v>8</v>
      </c>
      <c r="Q19">
        <v>7</v>
      </c>
      <c r="R19">
        <v>9</v>
      </c>
      <c r="S19">
        <v>7</v>
      </c>
      <c r="T19">
        <v>9</v>
      </c>
      <c r="U19">
        <v>7</v>
      </c>
    </row>
    <row r="20" spans="1:21" x14ac:dyDescent="0.15">
      <c r="A20">
        <v>43</v>
      </c>
      <c r="B20">
        <v>8</v>
      </c>
      <c r="C20">
        <v>11</v>
      </c>
      <c r="D20">
        <v>11</v>
      </c>
      <c r="E20">
        <v>14</v>
      </c>
      <c r="F20">
        <v>14</v>
      </c>
      <c r="G20">
        <v>10</v>
      </c>
      <c r="H20">
        <v>6</v>
      </c>
      <c r="I20">
        <v>6</v>
      </c>
      <c r="J20">
        <v>11</v>
      </c>
      <c r="K20">
        <v>9</v>
      </c>
      <c r="L20">
        <v>9</v>
      </c>
      <c r="M20">
        <v>8</v>
      </c>
      <c r="N20">
        <v>9</v>
      </c>
      <c r="O20">
        <v>8</v>
      </c>
      <c r="P20">
        <v>12</v>
      </c>
      <c r="Q20">
        <v>5</v>
      </c>
      <c r="R20">
        <v>12</v>
      </c>
      <c r="S20">
        <v>8</v>
      </c>
      <c r="T20">
        <v>3</v>
      </c>
      <c r="U20">
        <v>2</v>
      </c>
    </row>
    <row r="21" spans="1:21" x14ac:dyDescent="0.15">
      <c r="A21">
        <v>44</v>
      </c>
      <c r="B21">
        <v>8</v>
      </c>
      <c r="C21">
        <v>13</v>
      </c>
      <c r="D21">
        <v>7</v>
      </c>
      <c r="E21">
        <v>12</v>
      </c>
      <c r="F21">
        <v>9</v>
      </c>
      <c r="G21">
        <v>11</v>
      </c>
      <c r="H21">
        <v>8</v>
      </c>
      <c r="I21">
        <v>5</v>
      </c>
      <c r="J21">
        <v>12</v>
      </c>
      <c r="K21">
        <v>9</v>
      </c>
      <c r="L21">
        <v>14</v>
      </c>
      <c r="M21">
        <v>9</v>
      </c>
      <c r="N21">
        <v>6</v>
      </c>
      <c r="O21">
        <v>11</v>
      </c>
      <c r="P21">
        <v>9</v>
      </c>
      <c r="Q21">
        <v>4</v>
      </c>
      <c r="R21">
        <v>10</v>
      </c>
      <c r="S21">
        <v>7</v>
      </c>
      <c r="T21">
        <v>9</v>
      </c>
      <c r="U21">
        <v>4</v>
      </c>
    </row>
    <row r="22" spans="1:21" x14ac:dyDescent="0.15">
      <c r="A22">
        <v>45</v>
      </c>
      <c r="B22">
        <v>9</v>
      </c>
      <c r="C22">
        <v>8</v>
      </c>
      <c r="D22">
        <v>8</v>
      </c>
      <c r="E22">
        <v>7</v>
      </c>
      <c r="F22">
        <v>9</v>
      </c>
      <c r="G22">
        <v>7</v>
      </c>
      <c r="H22">
        <v>7</v>
      </c>
      <c r="I22">
        <v>7</v>
      </c>
      <c r="J22">
        <v>7</v>
      </c>
      <c r="K22">
        <v>8</v>
      </c>
      <c r="L22">
        <v>5</v>
      </c>
      <c r="M22">
        <v>5</v>
      </c>
      <c r="N22">
        <v>6</v>
      </c>
      <c r="O22">
        <v>10</v>
      </c>
      <c r="P22">
        <v>10</v>
      </c>
      <c r="Q22">
        <v>12</v>
      </c>
      <c r="R22">
        <v>15</v>
      </c>
      <c r="S22">
        <v>9</v>
      </c>
      <c r="T22">
        <v>2</v>
      </c>
      <c r="U22">
        <v>7</v>
      </c>
    </row>
    <row r="25" spans="1:21" x14ac:dyDescent="0.15">
      <c r="A25" t="s">
        <v>104</v>
      </c>
      <c r="B25">
        <v>26</v>
      </c>
      <c r="C25">
        <v>27</v>
      </c>
      <c r="D25">
        <v>28</v>
      </c>
      <c r="E25">
        <v>29</v>
      </c>
      <c r="F25">
        <v>30</v>
      </c>
      <c r="G25">
        <v>31</v>
      </c>
      <c r="H25">
        <v>32</v>
      </c>
      <c r="I25">
        <v>33</v>
      </c>
      <c r="J25">
        <v>34</v>
      </c>
      <c r="K25">
        <v>35</v>
      </c>
      <c r="L25">
        <v>36</v>
      </c>
      <c r="M25">
        <v>37</v>
      </c>
      <c r="N25">
        <v>38</v>
      </c>
      <c r="O25">
        <v>39</v>
      </c>
      <c r="P25">
        <v>40</v>
      </c>
      <c r="Q25">
        <v>41</v>
      </c>
      <c r="R25">
        <v>42</v>
      </c>
      <c r="S25">
        <v>43</v>
      </c>
      <c r="T25">
        <v>44</v>
      </c>
      <c r="U25">
        <v>45</v>
      </c>
    </row>
    <row r="26" spans="1:21" x14ac:dyDescent="0.15">
      <c r="A26">
        <v>2004</v>
      </c>
      <c r="B26">
        <v>20</v>
      </c>
      <c r="C26">
        <v>9</v>
      </c>
      <c r="D26">
        <v>17</v>
      </c>
      <c r="E26">
        <v>15</v>
      </c>
      <c r="F26">
        <v>13</v>
      </c>
      <c r="G26">
        <v>12</v>
      </c>
      <c r="H26">
        <v>15</v>
      </c>
      <c r="I26">
        <v>9</v>
      </c>
      <c r="J26">
        <v>9</v>
      </c>
      <c r="K26">
        <v>9</v>
      </c>
      <c r="L26">
        <v>8</v>
      </c>
      <c r="M26">
        <v>10</v>
      </c>
      <c r="N26">
        <v>11</v>
      </c>
      <c r="O26">
        <v>14</v>
      </c>
      <c r="P26">
        <v>8</v>
      </c>
      <c r="Q26">
        <v>6</v>
      </c>
      <c r="R26">
        <v>14</v>
      </c>
      <c r="S26">
        <v>8</v>
      </c>
      <c r="T26">
        <v>8</v>
      </c>
      <c r="U26">
        <v>9</v>
      </c>
    </row>
    <row r="27" spans="1:21" x14ac:dyDescent="0.15">
      <c r="A27">
        <v>2005</v>
      </c>
      <c r="B27">
        <v>14</v>
      </c>
      <c r="C27">
        <v>16</v>
      </c>
      <c r="D27">
        <v>13</v>
      </c>
      <c r="E27">
        <v>15</v>
      </c>
      <c r="F27">
        <v>13</v>
      </c>
      <c r="G27">
        <v>13</v>
      </c>
      <c r="H27">
        <v>17</v>
      </c>
      <c r="I27">
        <v>16</v>
      </c>
      <c r="J27">
        <v>5</v>
      </c>
      <c r="K27">
        <v>11</v>
      </c>
      <c r="L27">
        <v>4</v>
      </c>
      <c r="M27">
        <v>11</v>
      </c>
      <c r="N27">
        <v>14</v>
      </c>
      <c r="O27">
        <v>3</v>
      </c>
      <c r="P27">
        <v>10</v>
      </c>
      <c r="Q27">
        <v>6</v>
      </c>
      <c r="R27">
        <v>7</v>
      </c>
      <c r="S27">
        <v>11</v>
      </c>
      <c r="T27">
        <v>13</v>
      </c>
      <c r="U27">
        <v>8</v>
      </c>
    </row>
    <row r="28" spans="1:21" x14ac:dyDescent="0.15">
      <c r="A28">
        <v>2006</v>
      </c>
      <c r="B28">
        <v>11</v>
      </c>
      <c r="C28">
        <v>20</v>
      </c>
      <c r="D28">
        <v>10</v>
      </c>
      <c r="E28">
        <v>17</v>
      </c>
      <c r="F28">
        <v>18</v>
      </c>
      <c r="G28">
        <v>15</v>
      </c>
      <c r="H28">
        <v>12</v>
      </c>
      <c r="I28">
        <v>10</v>
      </c>
      <c r="J28">
        <v>11</v>
      </c>
      <c r="K28">
        <v>8</v>
      </c>
      <c r="L28">
        <v>8</v>
      </c>
      <c r="M28">
        <v>10</v>
      </c>
      <c r="N28">
        <v>14</v>
      </c>
      <c r="O28">
        <v>9</v>
      </c>
      <c r="P28">
        <v>9</v>
      </c>
      <c r="Q28">
        <v>4</v>
      </c>
      <c r="R28">
        <v>11</v>
      </c>
      <c r="S28">
        <v>11</v>
      </c>
      <c r="T28">
        <v>7</v>
      </c>
      <c r="U28">
        <v>8</v>
      </c>
    </row>
    <row r="29" spans="1:21" x14ac:dyDescent="0.15">
      <c r="A29">
        <v>2007</v>
      </c>
      <c r="B29">
        <v>12</v>
      </c>
      <c r="C29">
        <v>19</v>
      </c>
      <c r="D29">
        <v>15</v>
      </c>
      <c r="E29">
        <v>14</v>
      </c>
      <c r="F29">
        <v>12</v>
      </c>
      <c r="G29">
        <v>16</v>
      </c>
      <c r="H29">
        <v>12</v>
      </c>
      <c r="I29">
        <v>18</v>
      </c>
      <c r="J29">
        <v>14</v>
      </c>
      <c r="K29">
        <v>8</v>
      </c>
      <c r="L29">
        <v>10</v>
      </c>
      <c r="M29">
        <v>10</v>
      </c>
      <c r="N29">
        <v>9</v>
      </c>
      <c r="O29">
        <v>7</v>
      </c>
      <c r="P29">
        <v>11</v>
      </c>
      <c r="Q29">
        <v>6</v>
      </c>
      <c r="R29">
        <v>13</v>
      </c>
      <c r="S29">
        <v>14</v>
      </c>
      <c r="T29">
        <v>12</v>
      </c>
      <c r="U29">
        <v>7</v>
      </c>
    </row>
    <row r="30" spans="1:21" x14ac:dyDescent="0.15">
      <c r="A30">
        <v>2008</v>
      </c>
      <c r="B30">
        <v>13</v>
      </c>
      <c r="C30">
        <v>15</v>
      </c>
      <c r="D30">
        <v>20</v>
      </c>
      <c r="E30">
        <v>14</v>
      </c>
      <c r="F30">
        <v>14</v>
      </c>
      <c r="G30">
        <v>17</v>
      </c>
      <c r="H30">
        <v>8</v>
      </c>
      <c r="I30">
        <v>12</v>
      </c>
      <c r="J30">
        <v>14</v>
      </c>
      <c r="K30">
        <v>12</v>
      </c>
      <c r="L30">
        <v>14</v>
      </c>
      <c r="M30">
        <v>14</v>
      </c>
      <c r="N30">
        <v>8</v>
      </c>
      <c r="O30">
        <v>17</v>
      </c>
      <c r="P30">
        <v>12</v>
      </c>
      <c r="Q30">
        <v>11</v>
      </c>
      <c r="R30">
        <v>8</v>
      </c>
      <c r="S30">
        <v>14</v>
      </c>
      <c r="T30">
        <v>9</v>
      </c>
      <c r="U30">
        <v>9</v>
      </c>
    </row>
    <row r="31" spans="1:21" x14ac:dyDescent="0.15">
      <c r="A31">
        <v>2009</v>
      </c>
      <c r="B31">
        <v>14</v>
      </c>
      <c r="C31">
        <v>19</v>
      </c>
      <c r="D31">
        <v>14</v>
      </c>
      <c r="E31">
        <v>15</v>
      </c>
      <c r="F31">
        <v>15</v>
      </c>
      <c r="G31">
        <v>13</v>
      </c>
      <c r="H31">
        <v>16</v>
      </c>
      <c r="I31">
        <v>16</v>
      </c>
      <c r="J31">
        <v>14</v>
      </c>
      <c r="K31">
        <v>16</v>
      </c>
      <c r="L31">
        <v>6</v>
      </c>
      <c r="M31">
        <v>11</v>
      </c>
      <c r="N31">
        <v>8</v>
      </c>
      <c r="O31">
        <v>10</v>
      </c>
      <c r="P31">
        <v>3</v>
      </c>
      <c r="Q31">
        <v>10</v>
      </c>
      <c r="R31">
        <v>14</v>
      </c>
      <c r="S31">
        <v>10</v>
      </c>
      <c r="T31">
        <v>11</v>
      </c>
      <c r="U31">
        <v>7</v>
      </c>
    </row>
    <row r="32" spans="1:21" x14ac:dyDescent="0.15">
      <c r="A32">
        <v>2010</v>
      </c>
      <c r="B32">
        <v>24</v>
      </c>
      <c r="C32">
        <v>12</v>
      </c>
      <c r="D32">
        <v>18</v>
      </c>
      <c r="E32">
        <v>10</v>
      </c>
      <c r="F32">
        <v>10</v>
      </c>
      <c r="G32">
        <v>13</v>
      </c>
      <c r="H32">
        <v>13</v>
      </c>
      <c r="I32">
        <v>11</v>
      </c>
      <c r="J32">
        <v>12</v>
      </c>
      <c r="K32">
        <v>11</v>
      </c>
      <c r="L32">
        <v>14</v>
      </c>
      <c r="M32">
        <v>8</v>
      </c>
      <c r="N32">
        <v>11</v>
      </c>
      <c r="O32">
        <v>9</v>
      </c>
      <c r="P32">
        <v>7</v>
      </c>
      <c r="Q32">
        <v>9</v>
      </c>
      <c r="R32">
        <v>6</v>
      </c>
      <c r="S32">
        <v>6</v>
      </c>
      <c r="T32">
        <v>8</v>
      </c>
      <c r="U32">
        <v>7</v>
      </c>
    </row>
    <row r="33" spans="1:21" x14ac:dyDescent="0.15">
      <c r="A33">
        <v>2011</v>
      </c>
      <c r="B33">
        <v>19</v>
      </c>
      <c r="C33">
        <v>23</v>
      </c>
      <c r="D33">
        <v>17</v>
      </c>
      <c r="E33">
        <v>27</v>
      </c>
      <c r="F33">
        <v>23</v>
      </c>
      <c r="G33">
        <v>15</v>
      </c>
      <c r="H33">
        <v>14</v>
      </c>
      <c r="I33">
        <v>16</v>
      </c>
      <c r="J33">
        <v>13</v>
      </c>
      <c r="K33">
        <v>17</v>
      </c>
      <c r="L33">
        <v>17</v>
      </c>
      <c r="M33">
        <v>9</v>
      </c>
      <c r="N33">
        <v>14</v>
      </c>
      <c r="O33">
        <v>11</v>
      </c>
      <c r="P33">
        <v>12</v>
      </c>
      <c r="Q33">
        <v>5</v>
      </c>
      <c r="R33">
        <v>12</v>
      </c>
      <c r="S33">
        <v>6</v>
      </c>
      <c r="T33">
        <v>5</v>
      </c>
      <c r="U33">
        <v>7</v>
      </c>
    </row>
    <row r="34" spans="1:21" x14ac:dyDescent="0.15">
      <c r="A34">
        <v>2012</v>
      </c>
      <c r="B34">
        <v>16</v>
      </c>
      <c r="C34">
        <v>24</v>
      </c>
      <c r="D34">
        <v>19</v>
      </c>
      <c r="E34">
        <v>11</v>
      </c>
      <c r="F34">
        <v>9</v>
      </c>
      <c r="G34">
        <v>20</v>
      </c>
      <c r="H34">
        <v>12</v>
      </c>
      <c r="I34">
        <v>11</v>
      </c>
      <c r="J34">
        <v>19</v>
      </c>
      <c r="K34">
        <v>10</v>
      </c>
      <c r="L34">
        <v>16</v>
      </c>
      <c r="M34">
        <v>11</v>
      </c>
      <c r="N34">
        <v>11</v>
      </c>
      <c r="O34">
        <v>13</v>
      </c>
      <c r="P34">
        <v>8</v>
      </c>
      <c r="Q34">
        <v>10</v>
      </c>
      <c r="R34">
        <v>9</v>
      </c>
      <c r="S34">
        <v>11</v>
      </c>
      <c r="T34">
        <v>12</v>
      </c>
      <c r="U34">
        <v>7</v>
      </c>
    </row>
    <row r="35" spans="1:21" x14ac:dyDescent="0.15">
      <c r="A35">
        <v>2013</v>
      </c>
      <c r="B35">
        <v>20</v>
      </c>
      <c r="C35">
        <v>17</v>
      </c>
      <c r="D35">
        <v>21</v>
      </c>
      <c r="E35">
        <v>15</v>
      </c>
      <c r="F35">
        <v>16</v>
      </c>
      <c r="G35">
        <v>17</v>
      </c>
      <c r="H35">
        <v>20</v>
      </c>
      <c r="I35">
        <v>13</v>
      </c>
      <c r="J35">
        <v>8</v>
      </c>
      <c r="K35">
        <v>7</v>
      </c>
      <c r="L35">
        <v>13</v>
      </c>
      <c r="M35">
        <v>12</v>
      </c>
      <c r="N35">
        <v>13</v>
      </c>
      <c r="O35">
        <v>11</v>
      </c>
      <c r="P35">
        <v>7</v>
      </c>
      <c r="Q35">
        <v>5</v>
      </c>
      <c r="R35">
        <v>12</v>
      </c>
      <c r="S35">
        <v>9</v>
      </c>
      <c r="T35">
        <v>9</v>
      </c>
      <c r="U35">
        <v>8</v>
      </c>
    </row>
    <row r="36" spans="1:21" x14ac:dyDescent="0.15">
      <c r="A36">
        <v>2014</v>
      </c>
      <c r="B36">
        <v>16</v>
      </c>
      <c r="C36">
        <v>15</v>
      </c>
      <c r="D36">
        <v>17</v>
      </c>
      <c r="E36">
        <v>17</v>
      </c>
      <c r="F36">
        <v>19</v>
      </c>
      <c r="G36">
        <v>17</v>
      </c>
      <c r="H36">
        <v>13</v>
      </c>
      <c r="I36">
        <v>11</v>
      </c>
      <c r="J36">
        <v>18</v>
      </c>
      <c r="K36">
        <v>11</v>
      </c>
      <c r="L36">
        <v>7</v>
      </c>
      <c r="M36">
        <v>12</v>
      </c>
      <c r="N36">
        <v>9</v>
      </c>
      <c r="O36">
        <v>2</v>
      </c>
      <c r="P36">
        <v>12</v>
      </c>
      <c r="Q36">
        <v>7</v>
      </c>
      <c r="R36">
        <v>7</v>
      </c>
      <c r="S36">
        <v>9</v>
      </c>
      <c r="T36">
        <v>14</v>
      </c>
      <c r="U36">
        <v>5</v>
      </c>
    </row>
    <row r="37" spans="1:21" x14ac:dyDescent="0.15">
      <c r="A37">
        <v>2015</v>
      </c>
      <c r="B37">
        <v>18</v>
      </c>
      <c r="C37">
        <v>11</v>
      </c>
      <c r="D37">
        <v>18</v>
      </c>
      <c r="E37">
        <v>19</v>
      </c>
      <c r="F37">
        <v>17</v>
      </c>
      <c r="G37">
        <v>16</v>
      </c>
      <c r="H37">
        <v>6</v>
      </c>
      <c r="I37">
        <v>14</v>
      </c>
      <c r="J37">
        <v>10</v>
      </c>
      <c r="K37">
        <v>16</v>
      </c>
      <c r="L37">
        <v>10</v>
      </c>
      <c r="M37">
        <v>14</v>
      </c>
      <c r="N37">
        <v>10</v>
      </c>
      <c r="O37">
        <v>8</v>
      </c>
      <c r="P37">
        <v>5</v>
      </c>
      <c r="Q37">
        <v>11</v>
      </c>
      <c r="R37">
        <v>7</v>
      </c>
      <c r="S37">
        <v>8</v>
      </c>
      <c r="T37">
        <v>9</v>
      </c>
      <c r="U37">
        <v>5</v>
      </c>
    </row>
    <row r="38" spans="1:21" x14ac:dyDescent="0.15">
      <c r="A38">
        <v>2016</v>
      </c>
      <c r="B38">
        <v>15</v>
      </c>
      <c r="C38">
        <v>10</v>
      </c>
      <c r="D38">
        <v>13</v>
      </c>
      <c r="E38">
        <v>17</v>
      </c>
      <c r="F38">
        <v>12</v>
      </c>
      <c r="G38">
        <v>8</v>
      </c>
      <c r="H38">
        <v>14</v>
      </c>
      <c r="I38">
        <v>5</v>
      </c>
      <c r="J38">
        <v>15</v>
      </c>
      <c r="K38">
        <v>7</v>
      </c>
      <c r="L38">
        <v>10</v>
      </c>
      <c r="M38">
        <v>7</v>
      </c>
      <c r="N38">
        <v>9</v>
      </c>
      <c r="O38">
        <v>10</v>
      </c>
      <c r="P38">
        <v>8</v>
      </c>
      <c r="Q38">
        <v>11</v>
      </c>
      <c r="R38">
        <v>8</v>
      </c>
      <c r="S38">
        <v>9</v>
      </c>
      <c r="T38">
        <v>6</v>
      </c>
      <c r="U38">
        <v>6</v>
      </c>
    </row>
    <row r="39" spans="1:21" x14ac:dyDescent="0.15">
      <c r="A39">
        <v>2017</v>
      </c>
      <c r="B39">
        <v>21</v>
      </c>
      <c r="C39">
        <v>11</v>
      </c>
      <c r="D39">
        <v>14</v>
      </c>
      <c r="E39">
        <v>17</v>
      </c>
      <c r="F39">
        <v>13</v>
      </c>
      <c r="G39">
        <v>15</v>
      </c>
      <c r="H39">
        <v>12</v>
      </c>
      <c r="I39">
        <v>11</v>
      </c>
      <c r="J39">
        <v>16</v>
      </c>
      <c r="K39">
        <v>9</v>
      </c>
      <c r="L39">
        <v>11</v>
      </c>
      <c r="M39">
        <v>10</v>
      </c>
      <c r="N39">
        <v>7</v>
      </c>
      <c r="O39">
        <v>8</v>
      </c>
      <c r="P39">
        <v>6</v>
      </c>
      <c r="Q39">
        <v>8</v>
      </c>
      <c r="R39">
        <v>10</v>
      </c>
      <c r="S39">
        <v>8</v>
      </c>
      <c r="T39">
        <v>11</v>
      </c>
      <c r="U39">
        <v>10</v>
      </c>
    </row>
    <row r="40" spans="1:21" x14ac:dyDescent="0.15">
      <c r="A40">
        <v>2018</v>
      </c>
      <c r="B40">
        <v>15</v>
      </c>
      <c r="C40">
        <v>17</v>
      </c>
      <c r="D40">
        <v>21</v>
      </c>
      <c r="E40">
        <v>11</v>
      </c>
      <c r="F40">
        <v>15</v>
      </c>
      <c r="G40">
        <v>11</v>
      </c>
      <c r="H40">
        <v>9</v>
      </c>
      <c r="I40">
        <v>14</v>
      </c>
      <c r="J40">
        <v>18</v>
      </c>
      <c r="K40">
        <v>11</v>
      </c>
      <c r="L40">
        <v>8</v>
      </c>
      <c r="M40">
        <v>6</v>
      </c>
      <c r="N40">
        <v>9</v>
      </c>
      <c r="O40">
        <v>11</v>
      </c>
      <c r="P40">
        <v>9</v>
      </c>
      <c r="Q40">
        <v>7</v>
      </c>
      <c r="R40">
        <v>8</v>
      </c>
      <c r="S40">
        <v>12</v>
      </c>
      <c r="T40">
        <v>9</v>
      </c>
      <c r="U40">
        <v>10</v>
      </c>
    </row>
    <row r="41" spans="1:21" x14ac:dyDescent="0.15">
      <c r="A41">
        <v>2019</v>
      </c>
      <c r="B41">
        <v>21</v>
      </c>
      <c r="C41">
        <v>23</v>
      </c>
      <c r="D41">
        <v>23</v>
      </c>
      <c r="E41">
        <v>23</v>
      </c>
      <c r="F41">
        <v>13</v>
      </c>
      <c r="G41">
        <v>19</v>
      </c>
      <c r="H41">
        <v>17</v>
      </c>
      <c r="I41">
        <v>13</v>
      </c>
      <c r="J41">
        <v>9</v>
      </c>
      <c r="K41">
        <v>7</v>
      </c>
      <c r="L41">
        <v>12</v>
      </c>
      <c r="M41">
        <v>7</v>
      </c>
      <c r="N41">
        <v>8</v>
      </c>
      <c r="O41">
        <v>10</v>
      </c>
      <c r="P41">
        <v>4</v>
      </c>
      <c r="Q41">
        <v>7</v>
      </c>
      <c r="R41">
        <v>7</v>
      </c>
      <c r="S41">
        <v>5</v>
      </c>
      <c r="T41">
        <v>4</v>
      </c>
      <c r="U41">
        <v>12</v>
      </c>
    </row>
    <row r="42" spans="1:21" x14ac:dyDescent="0.15">
      <c r="A42">
        <v>2020</v>
      </c>
      <c r="B42">
        <v>16</v>
      </c>
      <c r="C42">
        <v>16</v>
      </c>
      <c r="D42">
        <v>15</v>
      </c>
      <c r="E42">
        <v>12</v>
      </c>
      <c r="F42">
        <v>23</v>
      </c>
      <c r="G42">
        <v>10</v>
      </c>
      <c r="H42">
        <v>20</v>
      </c>
      <c r="I42">
        <v>13</v>
      </c>
      <c r="J42">
        <v>10</v>
      </c>
      <c r="K42">
        <v>8</v>
      </c>
      <c r="L42">
        <v>12</v>
      </c>
      <c r="M42">
        <v>5</v>
      </c>
      <c r="N42">
        <v>5</v>
      </c>
      <c r="O42">
        <v>8</v>
      </c>
      <c r="P42">
        <v>15</v>
      </c>
      <c r="Q42">
        <v>6</v>
      </c>
      <c r="R42">
        <v>9</v>
      </c>
      <c r="S42">
        <v>12</v>
      </c>
      <c r="T42">
        <v>10</v>
      </c>
      <c r="U42">
        <v>15</v>
      </c>
    </row>
    <row r="43" spans="1:21" x14ac:dyDescent="0.15">
      <c r="A43">
        <v>2021</v>
      </c>
      <c r="B43">
        <v>19</v>
      </c>
      <c r="C43">
        <v>20</v>
      </c>
      <c r="D43">
        <v>12</v>
      </c>
      <c r="E43">
        <v>16</v>
      </c>
      <c r="F43">
        <v>20</v>
      </c>
      <c r="G43">
        <v>15</v>
      </c>
      <c r="H43">
        <v>12</v>
      </c>
      <c r="I43">
        <v>15</v>
      </c>
      <c r="J43">
        <v>13</v>
      </c>
      <c r="K43">
        <v>5</v>
      </c>
      <c r="L43">
        <v>11</v>
      </c>
      <c r="M43">
        <v>11</v>
      </c>
      <c r="N43">
        <v>14</v>
      </c>
      <c r="O43">
        <v>6</v>
      </c>
      <c r="P43">
        <v>7</v>
      </c>
      <c r="Q43">
        <v>14</v>
      </c>
      <c r="R43">
        <v>7</v>
      </c>
      <c r="S43">
        <v>8</v>
      </c>
      <c r="T43">
        <v>7</v>
      </c>
      <c r="U43">
        <v>9</v>
      </c>
    </row>
    <row r="44" spans="1:21" x14ac:dyDescent="0.15">
      <c r="A44">
        <v>2022</v>
      </c>
      <c r="B44">
        <v>11</v>
      </c>
      <c r="C44">
        <v>12</v>
      </c>
      <c r="D44">
        <v>10</v>
      </c>
      <c r="E44">
        <v>14</v>
      </c>
      <c r="F44">
        <v>18</v>
      </c>
      <c r="G44">
        <v>19</v>
      </c>
      <c r="H44">
        <v>9</v>
      </c>
      <c r="I44">
        <v>5</v>
      </c>
      <c r="J44">
        <v>10</v>
      </c>
      <c r="K44">
        <v>6</v>
      </c>
      <c r="L44">
        <v>5</v>
      </c>
      <c r="M44">
        <v>7</v>
      </c>
      <c r="N44">
        <v>3</v>
      </c>
      <c r="O44">
        <v>7</v>
      </c>
      <c r="P44">
        <v>5</v>
      </c>
      <c r="Q44">
        <v>8</v>
      </c>
      <c r="R44">
        <v>9</v>
      </c>
      <c r="S44">
        <v>3</v>
      </c>
      <c r="T44">
        <v>9</v>
      </c>
      <c r="U44">
        <v>2</v>
      </c>
    </row>
    <row r="45" spans="1:21" x14ac:dyDescent="0.15">
      <c r="A45">
        <v>2023</v>
      </c>
      <c r="B45">
        <v>13</v>
      </c>
      <c r="C45">
        <v>16</v>
      </c>
      <c r="D45">
        <v>16</v>
      </c>
      <c r="E45">
        <v>13</v>
      </c>
      <c r="F45">
        <v>10</v>
      </c>
      <c r="G45">
        <v>12</v>
      </c>
      <c r="H45">
        <v>7</v>
      </c>
      <c r="I45">
        <v>15</v>
      </c>
      <c r="J45">
        <v>12</v>
      </c>
      <c r="K45">
        <v>4</v>
      </c>
      <c r="L45">
        <v>12</v>
      </c>
      <c r="M45">
        <v>6</v>
      </c>
      <c r="N45">
        <v>7</v>
      </c>
      <c r="O45">
        <v>10</v>
      </c>
      <c r="P45">
        <v>3</v>
      </c>
      <c r="Q45">
        <v>3</v>
      </c>
      <c r="R45">
        <v>7</v>
      </c>
      <c r="S45">
        <v>2</v>
      </c>
      <c r="T45">
        <v>4</v>
      </c>
      <c r="U45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2DDA-ED62-C24A-A207-705B51FC2D15}">
  <sheetPr codeName="Sheet5"/>
  <dimension ref="A1:AY96"/>
  <sheetViews>
    <sheetView zoomScale="89" workbookViewId="0">
      <pane ySplit="4" topLeftCell="A44" activePane="bottomLeft" state="frozen"/>
      <selection pane="bottomLeft" activeCell="C20" sqref="C20:C21"/>
    </sheetView>
  </sheetViews>
  <sheetFormatPr baseColWidth="10" defaultColWidth="10.6640625" defaultRowHeight="13" x14ac:dyDescent="0.15"/>
  <cols>
    <col min="1" max="1" width="12.6640625" customWidth="1"/>
    <col min="2" max="2" width="24.33203125" customWidth="1"/>
    <col min="3" max="3" width="16.6640625" customWidth="1"/>
    <col min="6" max="6" width="41.33203125" customWidth="1"/>
    <col min="7" max="7" width="17.1640625" bestFit="1" customWidth="1"/>
    <col min="8" max="8" width="13.1640625" bestFit="1" customWidth="1"/>
    <col min="9" max="9" width="14.33203125" bestFit="1" customWidth="1"/>
    <col min="10" max="10" width="21.5" bestFit="1" customWidth="1"/>
    <col min="11" max="11" width="19.33203125" bestFit="1" customWidth="1"/>
    <col min="12" max="12" width="17" bestFit="1" customWidth="1"/>
    <col min="13" max="13" width="20.5" bestFit="1" customWidth="1"/>
    <col min="14" max="14" width="26" bestFit="1" customWidth="1"/>
    <col min="15" max="16" width="11.1640625" customWidth="1"/>
    <col min="17" max="17" width="13.5" customWidth="1"/>
    <col min="18" max="18" width="5.6640625" customWidth="1"/>
    <col min="19" max="19" width="10.83203125" customWidth="1"/>
    <col min="20" max="20" width="14.33203125" customWidth="1"/>
    <col min="24" max="24" width="8.1640625" customWidth="1"/>
    <col min="25" max="25" width="12.1640625" customWidth="1"/>
    <col min="26" max="29" width="10.6640625" customWidth="1"/>
    <col min="30" max="30" width="21.6640625" customWidth="1"/>
    <col min="32" max="32" width="11.33203125" customWidth="1"/>
    <col min="34" max="34" width="14.5" customWidth="1"/>
    <col min="35" max="35" width="15.5" customWidth="1"/>
    <col min="38" max="38" width="12.5" customWidth="1"/>
    <col min="39" max="39" width="12.1640625" customWidth="1"/>
    <col min="40" max="40" width="13.5" customWidth="1"/>
    <col min="42" max="42" width="16.1640625" customWidth="1"/>
    <col min="47" max="47" width="11.1640625" customWidth="1"/>
    <col min="51" max="51" width="9.5" bestFit="1" customWidth="1"/>
  </cols>
  <sheetData>
    <row r="1" spans="1:51" ht="16" x14ac:dyDescent="0.2">
      <c r="A1" s="42"/>
      <c r="AE1" s="202" t="s">
        <v>0</v>
      </c>
      <c r="AF1" s="203"/>
      <c r="AG1" s="203"/>
      <c r="AH1" s="203"/>
      <c r="AI1" s="203"/>
      <c r="AJ1" s="203"/>
      <c r="AK1" s="204"/>
      <c r="AL1" s="204"/>
      <c r="AM1" s="204"/>
      <c r="AN1" s="204"/>
    </row>
    <row r="2" spans="1:51" ht="15" x14ac:dyDescent="0.2">
      <c r="K2" s="29" t="s">
        <v>1</v>
      </c>
      <c r="L2" s="29"/>
      <c r="M2" s="29"/>
      <c r="N2" s="29"/>
      <c r="O2" s="29"/>
      <c r="P2" s="29"/>
      <c r="Q2" s="29"/>
      <c r="S2" s="205" t="s">
        <v>2</v>
      </c>
      <c r="T2" s="206"/>
      <c r="U2" s="206"/>
      <c r="V2" s="206"/>
      <c r="W2" s="207"/>
      <c r="X2" s="208"/>
      <c r="Z2" s="209" t="s">
        <v>3</v>
      </c>
      <c r="AA2" s="210"/>
      <c r="AB2" s="210"/>
      <c r="AC2" s="210"/>
      <c r="AE2" s="2" t="s">
        <v>4</v>
      </c>
      <c r="AF2" s="2" t="s">
        <v>5</v>
      </c>
      <c r="AG2" s="2" t="s">
        <v>6</v>
      </c>
      <c r="AH2" s="2" t="s">
        <v>7</v>
      </c>
      <c r="AI2" s="2"/>
      <c r="AJ2" s="2" t="s">
        <v>8</v>
      </c>
      <c r="AK2" s="2" t="s">
        <v>9</v>
      </c>
      <c r="AL2" s="2" t="s">
        <v>10</v>
      </c>
      <c r="AM2" s="2" t="s">
        <v>11</v>
      </c>
      <c r="AN2" s="2" t="s">
        <v>12</v>
      </c>
    </row>
    <row r="3" spans="1:51" ht="42" x14ac:dyDescent="0.15">
      <c r="G3" t="s">
        <v>13</v>
      </c>
      <c r="H3" s="168">
        <v>1641.0985977430239</v>
      </c>
      <c r="I3" s="82" t="s">
        <v>14</v>
      </c>
      <c r="J3" s="76" t="s">
        <v>15</v>
      </c>
      <c r="K3" s="2" t="s">
        <v>16</v>
      </c>
      <c r="L3" s="2" t="s">
        <v>17</v>
      </c>
      <c r="M3" s="2" t="s">
        <v>18</v>
      </c>
      <c r="N3" s="77" t="s">
        <v>19</v>
      </c>
      <c r="O3" s="77" t="s">
        <v>20</v>
      </c>
      <c r="P3" s="77" t="s">
        <v>21</v>
      </c>
      <c r="Q3" s="77" t="s">
        <v>22</v>
      </c>
      <c r="R3" s="77"/>
      <c r="S3" s="77" t="s">
        <v>23</v>
      </c>
      <c r="T3" s="77" t="s">
        <v>24</v>
      </c>
      <c r="U3" s="77" t="s">
        <v>25</v>
      </c>
      <c r="V3" s="77" t="s">
        <v>26</v>
      </c>
      <c r="W3" s="77" t="s">
        <v>27</v>
      </c>
      <c r="X3" s="77" t="s">
        <v>28</v>
      </c>
      <c r="Y3" s="77"/>
      <c r="Z3" s="77" t="s">
        <v>29</v>
      </c>
      <c r="AA3" s="77" t="s">
        <v>30</v>
      </c>
      <c r="AB3" s="77" t="s">
        <v>31</v>
      </c>
      <c r="AC3" s="77" t="s">
        <v>32</v>
      </c>
      <c r="AD3" s="77"/>
      <c r="AE3" s="78" t="s">
        <v>33</v>
      </c>
      <c r="AF3" s="78" t="s">
        <v>34</v>
      </c>
      <c r="AG3" s="78" t="s">
        <v>35</v>
      </c>
      <c r="AH3" s="78" t="s">
        <v>36</v>
      </c>
      <c r="AI3" s="78" t="s">
        <v>37</v>
      </c>
      <c r="AJ3" s="78" t="s">
        <v>38</v>
      </c>
      <c r="AK3" s="78" t="s">
        <v>39</v>
      </c>
      <c r="AL3" s="78" t="s">
        <v>40</v>
      </c>
      <c r="AM3" s="78" t="s">
        <v>41</v>
      </c>
      <c r="AN3" s="78" t="s">
        <v>42</v>
      </c>
      <c r="AO3" s="7" t="s">
        <v>43</v>
      </c>
      <c r="AP3" s="2"/>
      <c r="AQ3" s="76" t="s">
        <v>118</v>
      </c>
    </row>
    <row r="4" spans="1:51" x14ac:dyDescent="0.15">
      <c r="A4" s="83" t="s">
        <v>44</v>
      </c>
      <c r="B4" s="19"/>
      <c r="C4" s="19"/>
      <c r="D4" s="19"/>
      <c r="E4" s="69">
        <v>45</v>
      </c>
      <c r="H4" s="2"/>
      <c r="I4" s="2"/>
      <c r="J4" s="2">
        <v>0</v>
      </c>
      <c r="K4" s="13">
        <f>$H$3</f>
        <v>1641.0985977430239</v>
      </c>
      <c r="L4" s="13">
        <f>K4*C16</f>
        <v>468.6977595154076</v>
      </c>
      <c r="M4" s="26">
        <f>100+10%*K4</f>
        <v>264.10985977430244</v>
      </c>
      <c r="N4" s="13">
        <f>$E$11</f>
        <v>500000</v>
      </c>
      <c r="O4" s="50">
        <v>0.8</v>
      </c>
      <c r="P4" s="6">
        <f>N4*O4/1000</f>
        <v>400</v>
      </c>
      <c r="Q4" s="39">
        <f>$H$14*N4/1000</f>
        <v>5</v>
      </c>
      <c r="U4" s="38">
        <v>1</v>
      </c>
      <c r="V4" s="36"/>
      <c r="W4" s="36"/>
      <c r="X4" s="36">
        <f>U4-SUM(V4:W4)</f>
        <v>1</v>
      </c>
      <c r="Y4" s="36"/>
      <c r="Z4" s="6"/>
      <c r="AA4" s="6"/>
      <c r="AB4" s="6">
        <f>P4*X4</f>
        <v>400</v>
      </c>
      <c r="AC4" s="6">
        <f>Q4*X4</f>
        <v>5</v>
      </c>
      <c r="AD4" s="36"/>
      <c r="AE4" s="6">
        <f>$X4*K4</f>
        <v>1641.0985977430239</v>
      </c>
      <c r="AF4" s="6">
        <f>-$X4*L4</f>
        <v>-468.6977595154076</v>
      </c>
      <c r="AG4" s="6">
        <f>-$X4*M4</f>
        <v>-264.10985977430244</v>
      </c>
      <c r="AH4" s="6"/>
      <c r="AI4" s="6">
        <f>SUM(AE4:AH4)</f>
        <v>908.29097845331387</v>
      </c>
      <c r="AJ4" s="6">
        <f>Z4-AB4</f>
        <v>-400</v>
      </c>
      <c r="AK4" s="6"/>
      <c r="AL4" s="6">
        <f>SUM(AI4:AK4)</f>
        <v>508.29097845331387</v>
      </c>
      <c r="AM4" s="6">
        <f>AA4-AC4</f>
        <v>-5</v>
      </c>
      <c r="AN4" s="6">
        <f>AL4+AM4</f>
        <v>503.29097845331387</v>
      </c>
      <c r="AP4" s="41">
        <f>AL31</f>
        <v>3130.5628907729656</v>
      </c>
      <c r="AQ4" s="45">
        <f>AL4+NPV(5.5%,AL5:AL19)</f>
        <v>4382.481929449762</v>
      </c>
      <c r="AR4" s="27"/>
      <c r="AS4" s="27"/>
      <c r="AT4" s="23"/>
      <c r="AU4" s="23"/>
      <c r="AV4" s="32"/>
      <c r="AW4" s="32"/>
      <c r="AX4" s="23"/>
    </row>
    <row r="5" spans="1:51" x14ac:dyDescent="0.15">
      <c r="H5" s="28"/>
      <c r="I5" s="14">
        <f>$E$4+J5-1</f>
        <v>45</v>
      </c>
      <c r="J5" s="3">
        <f>J4+1</f>
        <v>1</v>
      </c>
      <c r="K5" s="13">
        <f>$H$3</f>
        <v>1641.0985977430239</v>
      </c>
      <c r="L5" s="13">
        <v>8</v>
      </c>
      <c r="M5" s="26">
        <v>50</v>
      </c>
      <c r="N5" s="13">
        <f t="shared" ref="N5:N24" si="0">$E$11</f>
        <v>500000</v>
      </c>
      <c r="O5" s="30">
        <v>0.3</v>
      </c>
      <c r="P5" s="39">
        <f t="shared" ref="P5:P24" si="1">N5*O5/1000</f>
        <v>150</v>
      </c>
      <c r="Q5" s="39">
        <f t="shared" ref="Q5:Q24" si="2">$H$14*N5/1000</f>
        <v>5</v>
      </c>
      <c r="R5" s="30"/>
      <c r="S5" s="43">
        <f>VLOOKUP(I5,'Mortality Table Latest'!$A$3:$E$123,4,FALSE)*1000</f>
        <v>1.728</v>
      </c>
      <c r="T5" s="49">
        <v>6.1170142103574403E-3</v>
      </c>
      <c r="U5" s="37">
        <f>X4</f>
        <v>1</v>
      </c>
      <c r="V5" s="37">
        <f>U5*S5/1000</f>
        <v>1.7279999999999999E-3</v>
      </c>
      <c r="W5" s="37">
        <f>MIN(T5*U5,U5-V5)</f>
        <v>6.1170142103574403E-3</v>
      </c>
      <c r="X5" s="36">
        <f>U5-SUM(V5:W5)</f>
        <v>0.99215498578964256</v>
      </c>
      <c r="Y5" s="36"/>
      <c r="Z5" s="6">
        <f>AB4</f>
        <v>400</v>
      </c>
      <c r="AA5" s="6">
        <f>AC4</f>
        <v>5</v>
      </c>
      <c r="AB5" s="6">
        <f t="shared" ref="AB5:AB24" si="3">P5*X5</f>
        <v>148.82324786844637</v>
      </c>
      <c r="AC5" s="6">
        <f t="shared" ref="AC5:AC24" si="4">Q5*X5</f>
        <v>4.9607749289482133</v>
      </c>
      <c r="AD5" s="36"/>
      <c r="AE5" s="6">
        <f t="shared" ref="AE5:AE24" si="5">$X5*K5</f>
        <v>1628.2241559231322</v>
      </c>
      <c r="AF5" s="6">
        <f t="shared" ref="AF5:AG20" si="6">-$X5*L5</f>
        <v>-7.9372398863171405</v>
      </c>
      <c r="AG5" s="6">
        <f t="shared" si="6"/>
        <v>-49.607749289482129</v>
      </c>
      <c r="AH5" s="6">
        <f>-V5*N5</f>
        <v>-864</v>
      </c>
      <c r="AI5" s="6">
        <f>SUM(AE5:AH5)</f>
        <v>706.67916674733283</v>
      </c>
      <c r="AJ5" s="6">
        <f>-N5*$X4*(O5-O4)/1000</f>
        <v>250</v>
      </c>
      <c r="AK5" s="6">
        <f>$D$6*SUM(Z5:AA5,AE5:AF5)</f>
        <v>60.15102140629341</v>
      </c>
      <c r="AL5" s="6">
        <f t="shared" ref="AL5:AL14" si="7">SUM(AI5:AK5)</f>
        <v>1016.8301881536263</v>
      </c>
      <c r="AM5" s="6">
        <f t="shared" ref="AM5:AM24" si="8">AA5-AC5</f>
        <v>3.9225071051786742E-2</v>
      </c>
      <c r="AN5" s="6">
        <f t="shared" ref="AN5:AN24" si="9">AL5+AM5</f>
        <v>1016.8694132246781</v>
      </c>
      <c r="AO5" t="s">
        <v>46</v>
      </c>
      <c r="AP5" s="28"/>
      <c r="AR5" s="27"/>
      <c r="AS5" s="27"/>
      <c r="AT5" s="23"/>
      <c r="AU5" s="23"/>
      <c r="AV5" s="32"/>
      <c r="AW5" s="32"/>
      <c r="AX5" s="23"/>
    </row>
    <row r="6" spans="1:51" x14ac:dyDescent="0.15">
      <c r="A6" s="15" t="s">
        <v>47</v>
      </c>
      <c r="B6" s="15"/>
      <c r="C6" s="15"/>
      <c r="D6" s="84">
        <v>2.9700000000000001E-2</v>
      </c>
      <c r="E6" s="8"/>
      <c r="F6" s="8"/>
      <c r="G6" s="8"/>
      <c r="H6" s="2"/>
      <c r="I6" s="14">
        <f t="shared" ref="I6:I24" si="10">$E$4+J6-1</f>
        <v>46</v>
      </c>
      <c r="J6" s="3">
        <f t="shared" ref="J6:J24" si="11">J5+1</f>
        <v>2</v>
      </c>
      <c r="K6" s="13">
        <f t="shared" ref="K6:K24" si="12">$H$3</f>
        <v>1641.0985977430239</v>
      </c>
      <c r="L6" s="13">
        <f>K6*$C$17</f>
        <v>66.956822787915385</v>
      </c>
      <c r="M6" s="26">
        <v>50</v>
      </c>
      <c r="N6" s="13">
        <f t="shared" si="0"/>
        <v>500000</v>
      </c>
      <c r="O6" s="30">
        <v>0.4</v>
      </c>
      <c r="P6" s="39">
        <f t="shared" si="1"/>
        <v>200</v>
      </c>
      <c r="Q6" s="39">
        <f t="shared" si="2"/>
        <v>5</v>
      </c>
      <c r="R6" s="30"/>
      <c r="S6" s="43">
        <f>VLOOKUP(I6,'Mortality Table Latest'!$A$3:$E$123,4,FALSE)*1000</f>
        <v>1.875</v>
      </c>
      <c r="T6" s="33">
        <v>6.1682099946429939E-3</v>
      </c>
      <c r="U6" s="37">
        <f>X5</f>
        <v>0.99215498578964256</v>
      </c>
      <c r="V6" s="37">
        <f t="shared" ref="V6:V24" si="13">U6*S6/1000</f>
        <v>1.8602905983555798E-3</v>
      </c>
      <c r="W6" s="37">
        <f t="shared" ref="W6:W24" si="14">MIN(T6*U6,U6-V6)</f>
        <v>6.1198202995825504E-3</v>
      </c>
      <c r="X6" s="36">
        <f>U6-SUM(V6:W6)</f>
        <v>0.98417487489170441</v>
      </c>
      <c r="Y6" s="36"/>
      <c r="Z6" s="6">
        <f t="shared" ref="Z6:AA21" si="15">AB5</f>
        <v>148.82324786844637</v>
      </c>
      <c r="AA6" s="6">
        <f t="shared" si="15"/>
        <v>4.9607749289482133</v>
      </c>
      <c r="AB6" s="6">
        <f t="shared" si="3"/>
        <v>196.83497497834088</v>
      </c>
      <c r="AC6" s="6">
        <f t="shared" si="4"/>
        <v>4.9208743744585224</v>
      </c>
      <c r="AD6" s="36"/>
      <c r="AE6" s="6">
        <f>$X6*K6</f>
        <v>1615.128007118692</v>
      </c>
      <c r="AF6" s="6">
        <f t="shared" si="6"/>
        <v>-65.897222690442646</v>
      </c>
      <c r="AG6" s="6">
        <f t="shared" si="6"/>
        <v>-49.20874374458522</v>
      </c>
      <c r="AH6" s="6">
        <f t="shared" ref="AH6:AH24" si="16">-V6*N6</f>
        <v>-930.14529917778987</v>
      </c>
      <c r="AI6" s="6">
        <f t="shared" ref="AI6:AI13" si="17">SUM(AE6:AH6)</f>
        <v>569.87674150587418</v>
      </c>
      <c r="AJ6" s="6">
        <f>-N6*($X5*O6-$X4*O5)/1000</f>
        <v>-48.43099715792853</v>
      </c>
      <c r="AK6" s="6">
        <f t="shared" ref="AK6:AK24" si="18">$D$6*SUM(Z6:AA6,AE6:AF6)</f>
        <v>50.579539774601621</v>
      </c>
      <c r="AL6" s="6">
        <f t="shared" si="7"/>
        <v>572.02528412254719</v>
      </c>
      <c r="AM6" s="6">
        <f t="shared" si="8"/>
        <v>3.9900554489690876E-2</v>
      </c>
      <c r="AN6" s="6">
        <f t="shared" si="9"/>
        <v>572.06518467703688</v>
      </c>
      <c r="AP6" s="41">
        <f>AN31</f>
        <v>3126.8955597804588</v>
      </c>
      <c r="AR6" s="27"/>
      <c r="AS6" s="27"/>
      <c r="AT6" s="23"/>
      <c r="AU6" s="23"/>
      <c r="AV6" s="32"/>
      <c r="AW6" s="32"/>
      <c r="AX6" s="23"/>
    </row>
    <row r="7" spans="1:51" x14ac:dyDescent="0.15">
      <c r="A7" s="19" t="s">
        <v>48</v>
      </c>
      <c r="B7" s="19"/>
      <c r="C7" s="79"/>
      <c r="D7" s="11">
        <v>5.5E-2</v>
      </c>
      <c r="E7" s="8"/>
      <c r="F7" s="8"/>
      <c r="G7" s="8"/>
      <c r="H7" s="47"/>
      <c r="I7" s="14">
        <f t="shared" si="10"/>
        <v>47</v>
      </c>
      <c r="J7" s="3">
        <f t="shared" si="11"/>
        <v>3</v>
      </c>
      <c r="K7" s="13">
        <f t="shared" si="12"/>
        <v>1641.0985977430239</v>
      </c>
      <c r="L7" s="13">
        <f t="shared" ref="L7:L24" si="19">K7*$C$17</f>
        <v>66.956822787915385</v>
      </c>
      <c r="M7" s="26">
        <v>50</v>
      </c>
      <c r="N7" s="13">
        <f t="shared" si="0"/>
        <v>500000</v>
      </c>
      <c r="O7" s="30">
        <v>0.4</v>
      </c>
      <c r="P7" s="39">
        <f t="shared" si="1"/>
        <v>200</v>
      </c>
      <c r="Q7" s="39">
        <f t="shared" si="2"/>
        <v>5</v>
      </c>
      <c r="R7" s="30"/>
      <c r="S7" s="43">
        <f>VLOOKUP(I7,'Mortality Table Latest'!$A$3:$E$123,4,FALSE)*1000</f>
        <v>2.056</v>
      </c>
      <c r="T7" s="33">
        <v>6.1844770561514965E-3</v>
      </c>
      <c r="U7" s="37">
        <f t="shared" ref="U7:U24" si="20">X6</f>
        <v>0.98417487489170441</v>
      </c>
      <c r="V7" s="37">
        <f t="shared" si="13"/>
        <v>2.0234635427773444E-3</v>
      </c>
      <c r="W7" s="37">
        <f t="shared" si="14"/>
        <v>6.0866069330085155E-3</v>
      </c>
      <c r="X7" s="36">
        <f t="shared" ref="X7:X24" si="21">U7-SUM(V7:W7)</f>
        <v>0.97606480441591859</v>
      </c>
      <c r="Y7" s="36"/>
      <c r="Z7" s="6">
        <f t="shared" si="15"/>
        <v>196.83497497834088</v>
      </c>
      <c r="AA7" s="6">
        <f t="shared" si="15"/>
        <v>4.9208743744585224</v>
      </c>
      <c r="AB7" s="6">
        <f t="shared" si="3"/>
        <v>195.21296088318371</v>
      </c>
      <c r="AC7" s="6">
        <f t="shared" si="4"/>
        <v>4.8803240220795931</v>
      </c>
      <c r="AD7" s="36"/>
      <c r="AE7" s="6">
        <f>$X7*K7</f>
        <v>1601.8185818332829</v>
      </c>
      <c r="AF7" s="6">
        <f t="shared" si="6"/>
        <v>-65.354198138797955</v>
      </c>
      <c r="AG7" s="6">
        <f t="shared" si="6"/>
        <v>-48.803240220795928</v>
      </c>
      <c r="AH7" s="6">
        <f t="shared" si="16"/>
        <v>-1011.7317713886722</v>
      </c>
      <c r="AI7" s="6">
        <f t="shared" si="17"/>
        <v>475.92937208501678</v>
      </c>
      <c r="AJ7" s="6">
        <f t="shared" ref="AJ7:AJ24" si="22">-N7*($X6*O7-$X5*O6)/1000</f>
        <v>1.596022179587625</v>
      </c>
      <c r="AK7" s="6">
        <f t="shared" si="18"/>
        <v>51.625140921504347</v>
      </c>
      <c r="AL7" s="6">
        <f t="shared" si="7"/>
        <v>529.15053518610875</v>
      </c>
      <c r="AM7" s="6">
        <f t="shared" si="8"/>
        <v>4.0550352378929233E-2</v>
      </c>
      <c r="AN7" s="6">
        <f t="shared" si="9"/>
        <v>529.19108553848764</v>
      </c>
      <c r="AR7" s="27"/>
      <c r="AS7" s="27"/>
      <c r="AT7" s="23"/>
      <c r="AU7" s="23"/>
      <c r="AV7" s="32"/>
      <c r="AW7" s="32"/>
      <c r="AX7" s="23"/>
    </row>
    <row r="8" spans="1:51" x14ac:dyDescent="0.15">
      <c r="A8" s="15" t="s">
        <v>49</v>
      </c>
      <c r="B8" s="15"/>
      <c r="C8" s="16"/>
      <c r="D8" s="2"/>
      <c r="E8" s="2"/>
      <c r="F8" s="2"/>
      <c r="G8" s="2"/>
      <c r="H8" s="2"/>
      <c r="I8" s="14">
        <f t="shared" si="10"/>
        <v>48</v>
      </c>
      <c r="J8" s="3">
        <f t="shared" si="11"/>
        <v>4</v>
      </c>
      <c r="K8" s="13">
        <f t="shared" si="12"/>
        <v>1641.0985977430239</v>
      </c>
      <c r="L8" s="13">
        <f t="shared" si="19"/>
        <v>66.956822787915385</v>
      </c>
      <c r="M8" s="26">
        <v>50</v>
      </c>
      <c r="N8" s="13">
        <f t="shared" si="0"/>
        <v>500000</v>
      </c>
      <c r="O8" s="30">
        <v>0.4</v>
      </c>
      <c r="P8" s="39">
        <f t="shared" si="1"/>
        <v>200</v>
      </c>
      <c r="Q8" s="39">
        <f t="shared" si="2"/>
        <v>5</v>
      </c>
      <c r="R8" s="30"/>
      <c r="S8" s="43">
        <f>VLOOKUP(I8,'Mortality Table Latest'!$A$3:$E$123,4,FALSE)*1000</f>
        <v>2.2469999999999999</v>
      </c>
      <c r="T8" s="33">
        <v>6.2413279786892577E-3</v>
      </c>
      <c r="U8" s="37">
        <f t="shared" si="20"/>
        <v>0.97606480441591859</v>
      </c>
      <c r="V8" s="37">
        <f t="shared" si="13"/>
        <v>2.193217615522569E-3</v>
      </c>
      <c r="W8" s="37">
        <f t="shared" si="14"/>
        <v>6.0919405728149306E-3</v>
      </c>
      <c r="X8" s="36">
        <f t="shared" si="21"/>
        <v>0.96777964622758106</v>
      </c>
      <c r="Y8" s="36"/>
      <c r="Z8" s="6">
        <f t="shared" si="15"/>
        <v>195.21296088318371</v>
      </c>
      <c r="AA8" s="6">
        <f t="shared" si="15"/>
        <v>4.8803240220795931</v>
      </c>
      <c r="AB8" s="6">
        <f t="shared" si="3"/>
        <v>193.55592924551621</v>
      </c>
      <c r="AC8" s="6">
        <f t="shared" si="4"/>
        <v>4.8388982311379056</v>
      </c>
      <c r="AD8" s="36"/>
      <c r="AE8" s="6">
        <f>$X8*K8</f>
        <v>1588.221820348323</v>
      </c>
      <c r="AF8" s="6">
        <f t="shared" si="6"/>
        <v>-64.799450270211594</v>
      </c>
      <c r="AG8" s="6">
        <f t="shared" si="6"/>
        <v>-48.388982311379053</v>
      </c>
      <c r="AH8" s="6">
        <f t="shared" si="16"/>
        <v>-1096.6088077612844</v>
      </c>
      <c r="AI8" s="6">
        <f t="shared" si="17"/>
        <v>378.42458000544798</v>
      </c>
      <c r="AJ8" s="6">
        <f t="shared" si="22"/>
        <v>1.6220140951571649</v>
      </c>
      <c r="AK8" s="6">
        <f t="shared" si="18"/>
        <v>51.18841495300623</v>
      </c>
      <c r="AL8" s="6">
        <f t="shared" si="7"/>
        <v>431.23500905361141</v>
      </c>
      <c r="AM8" s="6">
        <f t="shared" si="8"/>
        <v>4.1425790941687524E-2</v>
      </c>
      <c r="AN8" s="6">
        <f t="shared" si="9"/>
        <v>431.27643484455308</v>
      </c>
      <c r="AR8" s="27"/>
      <c r="AS8" s="27"/>
      <c r="AT8" s="23"/>
      <c r="AU8" s="23"/>
      <c r="AV8" s="32"/>
      <c r="AW8" s="32"/>
      <c r="AX8" s="23"/>
    </row>
    <row r="9" spans="1:51" x14ac:dyDescent="0.15">
      <c r="A9" s="15"/>
      <c r="B9" s="16" t="s">
        <v>50</v>
      </c>
      <c r="C9" s="16" t="s">
        <v>51</v>
      </c>
      <c r="D9" s="2"/>
      <c r="E9" s="2"/>
      <c r="F9" s="2"/>
      <c r="G9" s="2"/>
      <c r="H9" s="2"/>
      <c r="I9" s="14">
        <f t="shared" si="10"/>
        <v>49</v>
      </c>
      <c r="J9" s="3">
        <f t="shared" si="11"/>
        <v>5</v>
      </c>
      <c r="K9" s="13">
        <f t="shared" si="12"/>
        <v>1641.0985977430239</v>
      </c>
      <c r="L9" s="13">
        <f t="shared" si="19"/>
        <v>66.956822787915385</v>
      </c>
      <c r="M9" s="26">
        <v>50</v>
      </c>
      <c r="N9" s="13">
        <f>$E$11</f>
        <v>500000</v>
      </c>
      <c r="O9" s="30">
        <v>0.4</v>
      </c>
      <c r="P9" s="39">
        <f t="shared" si="1"/>
        <v>200</v>
      </c>
      <c r="Q9" s="39">
        <f t="shared" si="2"/>
        <v>5</v>
      </c>
      <c r="R9" s="30"/>
      <c r="S9" s="43">
        <f>VLOOKUP(I9,'Mortality Table Latest'!$A$3:$E$123,4,FALSE)*1000</f>
        <v>2.4569999999999999</v>
      </c>
      <c r="T9" s="33">
        <v>6.1437361948170907E-3</v>
      </c>
      <c r="U9" s="37">
        <f t="shared" si="20"/>
        <v>0.96777964622758106</v>
      </c>
      <c r="V9" s="37">
        <f t="shared" si="13"/>
        <v>2.3778345907811667E-3</v>
      </c>
      <c r="W9" s="37">
        <f t="shared" si="14"/>
        <v>5.9457828411356691E-3</v>
      </c>
      <c r="X9" s="36">
        <f t="shared" si="21"/>
        <v>0.95945602879566427</v>
      </c>
      <c r="Y9" s="36"/>
      <c r="Z9" s="6">
        <f t="shared" si="15"/>
        <v>193.55592924551621</v>
      </c>
      <c r="AA9" s="6">
        <f t="shared" si="15"/>
        <v>4.8388982311379056</v>
      </c>
      <c r="AB9" s="6">
        <f t="shared" si="3"/>
        <v>191.89120575913284</v>
      </c>
      <c r="AC9" s="6">
        <f t="shared" si="4"/>
        <v>4.7972801439783215</v>
      </c>
      <c r="AD9" s="36"/>
      <c r="AE9" s="6">
        <f>$X9*K9</f>
        <v>1574.561943452655</v>
      </c>
      <c r="AF9" s="6">
        <f t="shared" si="6"/>
        <v>-64.242127292868332</v>
      </c>
      <c r="AG9" s="6">
        <f t="shared" si="6"/>
        <v>-47.972801439783211</v>
      </c>
      <c r="AH9" s="6">
        <f t="shared" si="16"/>
        <v>-1188.9172953905834</v>
      </c>
      <c r="AI9" s="6">
        <f t="shared" si="17"/>
        <v>273.42971932941987</v>
      </c>
      <c r="AJ9" s="6">
        <f t="shared" si="22"/>
        <v>1.6570316376675054</v>
      </c>
      <c r="AK9" s="6">
        <f t="shared" si="18"/>
        <v>50.748824916002292</v>
      </c>
      <c r="AL9" s="6">
        <f t="shared" si="7"/>
        <v>325.83557588308963</v>
      </c>
      <c r="AM9" s="6">
        <f t="shared" si="8"/>
        <v>4.161808715958415E-2</v>
      </c>
      <c r="AN9" s="6">
        <f t="shared" si="9"/>
        <v>325.87719397024921</v>
      </c>
      <c r="AR9" s="27"/>
      <c r="AS9" s="27"/>
      <c r="AT9" s="23"/>
      <c r="AU9" s="23"/>
      <c r="AV9" s="32"/>
      <c r="AW9" s="32"/>
      <c r="AX9" s="23"/>
    </row>
    <row r="10" spans="1:51" x14ac:dyDescent="0.15">
      <c r="A10" s="15"/>
      <c r="B10" s="16">
        <v>1</v>
      </c>
      <c r="C10" s="80">
        <v>7.0000000000000007E-2</v>
      </c>
      <c r="D10" s="2"/>
      <c r="E10" s="53" t="s">
        <v>52</v>
      </c>
      <c r="F10" s="20"/>
      <c r="G10" s="2"/>
      <c r="H10" s="2"/>
      <c r="I10" s="14">
        <f t="shared" si="10"/>
        <v>50</v>
      </c>
      <c r="J10" s="3">
        <f t="shared" si="11"/>
        <v>6</v>
      </c>
      <c r="K10" s="13">
        <f t="shared" si="12"/>
        <v>1641.0985977430239</v>
      </c>
      <c r="L10" s="13">
        <f t="shared" si="19"/>
        <v>66.956822787915385</v>
      </c>
      <c r="M10" s="26">
        <v>50</v>
      </c>
      <c r="N10" s="13">
        <f t="shared" si="0"/>
        <v>500000</v>
      </c>
      <c r="O10" s="30">
        <v>0.4</v>
      </c>
      <c r="P10" s="39">
        <f t="shared" si="1"/>
        <v>200</v>
      </c>
      <c r="Q10" s="39">
        <f t="shared" si="2"/>
        <v>5</v>
      </c>
      <c r="R10" s="30"/>
      <c r="S10" s="43">
        <f>VLOOKUP(I10,'Mortality Table Latest'!$A$3:$E$123,4,FALSE)*1000</f>
        <v>2.6819999999999999</v>
      </c>
      <c r="T10" s="33">
        <v>6.0950583441932923E-3</v>
      </c>
      <c r="U10" s="37">
        <f t="shared" si="20"/>
        <v>0.95945602879566427</v>
      </c>
      <c r="V10" s="37">
        <f t="shared" si="13"/>
        <v>2.5732610692299714E-3</v>
      </c>
      <c r="W10" s="37">
        <f t="shared" si="14"/>
        <v>5.847940474197573E-3</v>
      </c>
      <c r="X10" s="36">
        <f t="shared" si="21"/>
        <v>0.95103482725223676</v>
      </c>
      <c r="Y10" s="36"/>
      <c r="Z10" s="6">
        <f t="shared" si="15"/>
        <v>191.89120575913284</v>
      </c>
      <c r="AA10" s="6">
        <f t="shared" si="15"/>
        <v>4.7972801439783215</v>
      </c>
      <c r="AB10" s="6">
        <f t="shared" si="3"/>
        <v>190.20696545044734</v>
      </c>
      <c r="AC10" s="6">
        <f t="shared" si="4"/>
        <v>4.7551741362611839</v>
      </c>
      <c r="AD10" s="36"/>
      <c r="AE10" s="6">
        <f t="shared" si="5"/>
        <v>1560.7419214084248</v>
      </c>
      <c r="AF10" s="6">
        <f t="shared" si="6"/>
        <v>-63.678270393463741</v>
      </c>
      <c r="AG10" s="6">
        <f t="shared" si="6"/>
        <v>-47.551741362611835</v>
      </c>
      <c r="AH10" s="6">
        <f t="shared" si="16"/>
        <v>-1286.6305346149857</v>
      </c>
      <c r="AI10" s="6">
        <f t="shared" si="17"/>
        <v>162.88137503736357</v>
      </c>
      <c r="AJ10" s="6">
        <f t="shared" si="22"/>
        <v>1.6647234863833571</v>
      </c>
      <c r="AK10" s="6">
        <f t="shared" si="18"/>
        <v>50.304438466466749</v>
      </c>
      <c r="AL10" s="6">
        <f t="shared" si="7"/>
        <v>214.8505369902137</v>
      </c>
      <c r="AM10" s="6">
        <f t="shared" si="8"/>
        <v>4.2106007717137572E-2</v>
      </c>
      <c r="AN10" s="6">
        <f t="shared" si="9"/>
        <v>214.89264299793084</v>
      </c>
      <c r="AR10" s="27"/>
      <c r="AS10" s="27"/>
      <c r="AT10" s="23"/>
      <c r="AU10" s="23"/>
      <c r="AV10" s="32"/>
      <c r="AW10" s="32"/>
      <c r="AX10" s="23"/>
    </row>
    <row r="11" spans="1:51" x14ac:dyDescent="0.15">
      <c r="A11" s="15"/>
      <c r="B11" s="17" t="s">
        <v>53</v>
      </c>
      <c r="C11" s="80">
        <v>0.06</v>
      </c>
      <c r="D11" s="2"/>
      <c r="E11" s="69">
        <f>VLOOKUP(E4,F56:K96,3,FALSE)</f>
        <v>500000</v>
      </c>
      <c r="F11" s="20"/>
      <c r="G11" s="2"/>
      <c r="H11" s="2"/>
      <c r="I11" s="14">
        <f t="shared" si="10"/>
        <v>51</v>
      </c>
      <c r="J11" s="3">
        <f t="shared" si="11"/>
        <v>7</v>
      </c>
      <c r="K11" s="13">
        <f t="shared" si="12"/>
        <v>1641.0985977430239</v>
      </c>
      <c r="L11" s="13">
        <f t="shared" si="19"/>
        <v>66.956822787915385</v>
      </c>
      <c r="M11" s="26">
        <v>50</v>
      </c>
      <c r="N11" s="13">
        <f t="shared" si="0"/>
        <v>500000</v>
      </c>
      <c r="O11" s="30">
        <v>0.3</v>
      </c>
      <c r="P11" s="39">
        <f t="shared" si="1"/>
        <v>150</v>
      </c>
      <c r="Q11" s="39">
        <f t="shared" si="2"/>
        <v>5</v>
      </c>
      <c r="R11" s="30"/>
      <c r="S11" s="43">
        <f>VLOOKUP(I11,'Mortality Table Latest'!$A$3:$E$123,4,FALSE)*1000</f>
        <v>2.9409999999999998</v>
      </c>
      <c r="T11" s="33">
        <v>6.4144141795058167E-3</v>
      </c>
      <c r="U11" s="37">
        <f t="shared" si="20"/>
        <v>0.95103482725223676</v>
      </c>
      <c r="V11" s="37">
        <f t="shared" si="13"/>
        <v>2.7969934269488285E-3</v>
      </c>
      <c r="W11" s="37">
        <f t="shared" si="14"/>
        <v>6.1003312811306123E-3</v>
      </c>
      <c r="X11" s="36">
        <f t="shared" si="21"/>
        <v>0.94213750254415729</v>
      </c>
      <c r="Y11" s="36"/>
      <c r="Z11" s="6">
        <f t="shared" si="15"/>
        <v>190.20696545044734</v>
      </c>
      <c r="AA11" s="6">
        <f t="shared" si="15"/>
        <v>4.7551741362611839</v>
      </c>
      <c r="AB11" s="6">
        <f t="shared" si="3"/>
        <v>141.32062538162359</v>
      </c>
      <c r="AC11" s="6">
        <f t="shared" si="4"/>
        <v>4.7106875127207868</v>
      </c>
      <c r="AD11" s="36"/>
      <c r="AE11" s="6">
        <f t="shared" si="5"/>
        <v>1546.1405343063311</v>
      </c>
      <c r="AF11" s="6">
        <f t="shared" si="6"/>
        <v>-63.082533799698318</v>
      </c>
      <c r="AG11" s="6">
        <f t="shared" si="6"/>
        <v>-47.106875127207864</v>
      </c>
      <c r="AH11" s="6">
        <f t="shared" si="16"/>
        <v>-1398.4967134744143</v>
      </c>
      <c r="AI11" s="6">
        <f t="shared" si="17"/>
        <v>37.454411905010829</v>
      </c>
      <c r="AJ11" s="6">
        <f t="shared" si="22"/>
        <v>49.23598167129736</v>
      </c>
      <c r="AK11" s="6">
        <f t="shared" si="18"/>
        <v>49.837198160772239</v>
      </c>
      <c r="AL11" s="6">
        <f>SUM(AI11:AK11)</f>
        <v>136.52759173708043</v>
      </c>
      <c r="AM11" s="6">
        <f t="shared" si="8"/>
        <v>4.4486623540397119E-2</v>
      </c>
      <c r="AN11" s="6">
        <f t="shared" si="9"/>
        <v>136.57207836062082</v>
      </c>
      <c r="AR11" s="27"/>
      <c r="AS11" s="27"/>
      <c r="AT11" s="23"/>
      <c r="AU11" s="23"/>
      <c r="AV11" s="32"/>
      <c r="AW11" s="32"/>
      <c r="AX11" s="23"/>
    </row>
    <row r="12" spans="1:51" x14ac:dyDescent="0.15">
      <c r="A12" s="15"/>
      <c r="B12" s="17" t="s">
        <v>54</v>
      </c>
      <c r="C12" s="80">
        <v>0.05</v>
      </c>
      <c r="D12" s="2"/>
      <c r="E12" s="2"/>
      <c r="F12" s="2"/>
      <c r="G12" s="2"/>
      <c r="H12" s="2"/>
      <c r="I12" s="14">
        <f t="shared" si="10"/>
        <v>52</v>
      </c>
      <c r="J12" s="3">
        <f t="shared" si="11"/>
        <v>8</v>
      </c>
      <c r="K12" s="13">
        <f t="shared" si="12"/>
        <v>1641.0985977430239</v>
      </c>
      <c r="L12" s="13">
        <f t="shared" si="19"/>
        <v>66.956822787915385</v>
      </c>
      <c r="M12" s="26">
        <v>50</v>
      </c>
      <c r="N12" s="13">
        <f t="shared" si="0"/>
        <v>500000</v>
      </c>
      <c r="O12" s="30">
        <v>0.2</v>
      </c>
      <c r="P12" s="39">
        <f t="shared" si="1"/>
        <v>100</v>
      </c>
      <c r="Q12" s="39">
        <f t="shared" si="2"/>
        <v>5</v>
      </c>
      <c r="R12" s="30"/>
      <c r="S12" s="43">
        <f>VLOOKUP(I12,'Mortality Table Latest'!$A$3:$E$123,4,FALSE)*1000</f>
        <v>2.09</v>
      </c>
      <c r="T12" s="33">
        <v>6.2142490304071402E-3</v>
      </c>
      <c r="U12" s="37">
        <f t="shared" si="20"/>
        <v>0.94213750254415729</v>
      </c>
      <c r="V12" s="37">
        <f t="shared" si="13"/>
        <v>1.9690673803172886E-3</v>
      </c>
      <c r="W12" s="37">
        <f t="shared" si="14"/>
        <v>5.854677061695234E-3</v>
      </c>
      <c r="X12" s="36">
        <f t="shared" si="21"/>
        <v>0.93431375810214479</v>
      </c>
      <c r="Y12" s="36"/>
      <c r="Z12" s="6">
        <f t="shared" si="15"/>
        <v>141.32062538162359</v>
      </c>
      <c r="AA12" s="6">
        <f t="shared" si="15"/>
        <v>4.7106875127207868</v>
      </c>
      <c r="AB12" s="6">
        <f t="shared" si="3"/>
        <v>93.431375810214476</v>
      </c>
      <c r="AC12" s="6">
        <f t="shared" si="4"/>
        <v>4.6715687905107242</v>
      </c>
      <c r="AD12" s="36"/>
      <c r="AE12" s="6">
        <f t="shared" si="5"/>
        <v>1533.3009982734447</v>
      </c>
      <c r="AF12" s="6">
        <f t="shared" si="6"/>
        <v>-62.558680729556549</v>
      </c>
      <c r="AG12" s="6">
        <f t="shared" si="6"/>
        <v>-46.715687905107238</v>
      </c>
      <c r="AH12" s="6">
        <f t="shared" si="16"/>
        <v>-984.53369015864428</v>
      </c>
      <c r="AI12" s="6">
        <f t="shared" si="17"/>
        <v>439.49293948013678</v>
      </c>
      <c r="AJ12" s="6">
        <f t="shared" si="22"/>
        <v>48.441473833419778</v>
      </c>
      <c r="AK12" s="6">
        <f t="shared" si="18"/>
        <v>48.018176824015512</v>
      </c>
      <c r="AL12" s="6">
        <f t="shared" si="7"/>
        <v>535.95259013757209</v>
      </c>
      <c r="AM12" s="6">
        <f t="shared" si="8"/>
        <v>3.9118722210062629E-2</v>
      </c>
      <c r="AN12" s="6">
        <f>AL12+AM12</f>
        <v>535.99170885978219</v>
      </c>
      <c r="AR12" s="27"/>
      <c r="AS12" s="27"/>
      <c r="AT12" s="23"/>
      <c r="AU12" s="23"/>
      <c r="AV12" s="32"/>
      <c r="AW12" s="32"/>
      <c r="AX12" s="23"/>
    </row>
    <row r="13" spans="1:51" x14ac:dyDescent="0.15">
      <c r="A13" s="15"/>
      <c r="B13" s="16" t="s">
        <v>55</v>
      </c>
      <c r="C13" s="80">
        <v>0.04</v>
      </c>
      <c r="D13" s="2"/>
      <c r="E13" s="2"/>
      <c r="F13" s="2"/>
      <c r="G13" s="2"/>
      <c r="H13" s="2"/>
      <c r="I13" s="14">
        <f t="shared" si="10"/>
        <v>53</v>
      </c>
      <c r="J13" s="3">
        <f t="shared" si="11"/>
        <v>9</v>
      </c>
      <c r="K13" s="13">
        <f t="shared" si="12"/>
        <v>1641.0985977430239</v>
      </c>
      <c r="L13" s="13">
        <f t="shared" si="19"/>
        <v>66.956822787915385</v>
      </c>
      <c r="M13" s="26">
        <v>50</v>
      </c>
      <c r="N13" s="13">
        <f t="shared" si="0"/>
        <v>500000</v>
      </c>
      <c r="O13" s="30">
        <v>0.1</v>
      </c>
      <c r="P13" s="39">
        <f t="shared" si="1"/>
        <v>50</v>
      </c>
      <c r="Q13" s="39">
        <f t="shared" si="2"/>
        <v>5</v>
      </c>
      <c r="R13" s="30"/>
      <c r="S13" s="43">
        <f>VLOOKUP(I13,'Mortality Table Latest'!$A$3:$E$123,4,FALSE)*1000</f>
        <v>2.2999999999999998</v>
      </c>
      <c r="T13" s="33">
        <v>6.2409368032058377E-3</v>
      </c>
      <c r="U13" s="37">
        <f t="shared" si="20"/>
        <v>0.93431375810214479</v>
      </c>
      <c r="V13" s="37">
        <f t="shared" si="13"/>
        <v>2.1489216436349329E-3</v>
      </c>
      <c r="W13" s="37">
        <f t="shared" si="14"/>
        <v>5.830993118681232E-3</v>
      </c>
      <c r="X13" s="36">
        <f t="shared" si="21"/>
        <v>0.9263338433398286</v>
      </c>
      <c r="Y13" s="36"/>
      <c r="Z13" s="6">
        <f t="shared" si="15"/>
        <v>93.431375810214476</v>
      </c>
      <c r="AA13" s="6">
        <f t="shared" si="15"/>
        <v>4.6715687905107242</v>
      </c>
      <c r="AB13" s="6">
        <f t="shared" si="3"/>
        <v>46.31669216699143</v>
      </c>
      <c r="AC13" s="6">
        <f t="shared" si="4"/>
        <v>4.6316692166991427</v>
      </c>
      <c r="AD13" s="36"/>
      <c r="AE13" s="6">
        <f t="shared" si="5"/>
        <v>1520.2051713468986</v>
      </c>
      <c r="AF13" s="6">
        <f t="shared" si="6"/>
        <v>-62.024370990953479</v>
      </c>
      <c r="AG13" s="6">
        <f t="shared" si="6"/>
        <v>-46.31669216699143</v>
      </c>
      <c r="AH13" s="6">
        <f t="shared" si="16"/>
        <v>-1074.4608218174665</v>
      </c>
      <c r="AI13" s="6">
        <f t="shared" si="17"/>
        <v>337.40328637148718</v>
      </c>
      <c r="AJ13" s="6">
        <f t="shared" si="22"/>
        <v>47.498062349308491</v>
      </c>
      <c r="AK13" s="6">
        <f t="shared" si="18"/>
        <v>46.221627225213105</v>
      </c>
      <c r="AL13" s="6">
        <f t="shared" si="7"/>
        <v>431.12297594600881</v>
      </c>
      <c r="AM13" s="6">
        <f t="shared" si="8"/>
        <v>3.989957381158149E-2</v>
      </c>
      <c r="AN13" s="6">
        <f t="shared" si="9"/>
        <v>431.16287551982037</v>
      </c>
      <c r="AR13" s="27"/>
      <c r="AS13" s="27"/>
      <c r="AT13" s="23"/>
      <c r="AU13" s="23"/>
      <c r="AV13" s="32"/>
      <c r="AW13" s="32"/>
      <c r="AX13" s="23"/>
      <c r="AY13" s="34"/>
    </row>
    <row r="14" spans="1:51" x14ac:dyDescent="0.15">
      <c r="A14" s="19" t="s">
        <v>56</v>
      </c>
      <c r="B14" s="20"/>
      <c r="C14" s="79"/>
      <c r="D14" s="2"/>
      <c r="E14" s="81" t="s">
        <v>57</v>
      </c>
      <c r="F14" s="16"/>
      <c r="G14" s="16"/>
      <c r="H14" s="22">
        <v>0.01</v>
      </c>
      <c r="I14" s="14">
        <f t="shared" si="10"/>
        <v>54</v>
      </c>
      <c r="J14" s="3">
        <f t="shared" si="11"/>
        <v>10</v>
      </c>
      <c r="K14" s="13">
        <f t="shared" si="12"/>
        <v>1641.0985977430239</v>
      </c>
      <c r="L14" s="13">
        <f t="shared" si="19"/>
        <v>66.956822787915385</v>
      </c>
      <c r="M14" s="26">
        <v>50</v>
      </c>
      <c r="N14" s="13">
        <f t="shared" si="0"/>
        <v>500000</v>
      </c>
      <c r="O14" s="30">
        <v>0.1</v>
      </c>
      <c r="P14" s="39">
        <f t="shared" si="1"/>
        <v>50</v>
      </c>
      <c r="Q14" s="39">
        <f t="shared" si="2"/>
        <v>5</v>
      </c>
      <c r="R14" s="30"/>
      <c r="S14" s="43">
        <f>VLOOKUP(I14,'Mortality Table Latest'!$A$3:$E$123,4,FALSE)*1000</f>
        <v>2.54</v>
      </c>
      <c r="T14" s="33">
        <v>6.3516835916622126E-3</v>
      </c>
      <c r="U14" s="37">
        <f t="shared" si="20"/>
        <v>0.9263338433398286</v>
      </c>
      <c r="V14" s="37">
        <f t="shared" si="13"/>
        <v>2.3528879620831646E-3</v>
      </c>
      <c r="W14" s="37">
        <f t="shared" si="14"/>
        <v>5.8837794731429836E-3</v>
      </c>
      <c r="X14" s="36">
        <f t="shared" si="21"/>
        <v>0.91809717590460249</v>
      </c>
      <c r="Y14" s="36"/>
      <c r="Z14" s="6">
        <f t="shared" si="15"/>
        <v>46.31669216699143</v>
      </c>
      <c r="AA14" s="6">
        <f t="shared" si="15"/>
        <v>4.6316692166991427</v>
      </c>
      <c r="AB14" s="6">
        <f t="shared" si="3"/>
        <v>45.904858795230126</v>
      </c>
      <c r="AC14" s="6">
        <f t="shared" si="4"/>
        <v>4.5904858795230128</v>
      </c>
      <c r="AD14" s="36"/>
      <c r="AE14" s="6">
        <f t="shared" si="5"/>
        <v>1506.6879879688736</v>
      </c>
      <c r="AF14" s="6">
        <f t="shared" si="6"/>
        <v>-61.472869909130047</v>
      </c>
      <c r="AG14" s="6">
        <f t="shared" si="6"/>
        <v>-45.904858795230126</v>
      </c>
      <c r="AH14" s="6">
        <f t="shared" si="16"/>
        <v>-1176.4439810415822</v>
      </c>
      <c r="AI14" s="6">
        <f>SUM(AE14:AH14)</f>
        <v>222.86627822293121</v>
      </c>
      <c r="AJ14" s="6">
        <f t="shared" si="22"/>
        <v>0.39899573811581074</v>
      </c>
      <c r="AK14" s="6">
        <f t="shared" si="18"/>
        <v>44.436055339469995</v>
      </c>
      <c r="AL14" s="6">
        <f t="shared" si="7"/>
        <v>267.70132930051705</v>
      </c>
      <c r="AM14" s="6">
        <f t="shared" si="8"/>
        <v>4.1183337176129875E-2</v>
      </c>
      <c r="AN14" s="6">
        <f t="shared" si="9"/>
        <v>267.74251263769315</v>
      </c>
      <c r="AR14" s="27"/>
      <c r="AS14" s="27"/>
      <c r="AT14" s="23"/>
      <c r="AU14" s="23"/>
      <c r="AV14" s="32"/>
      <c r="AW14" s="32"/>
      <c r="AX14" s="23"/>
    </row>
    <row r="15" spans="1:51" x14ac:dyDescent="0.15">
      <c r="A15" s="19"/>
      <c r="B15" s="20" t="s">
        <v>50</v>
      </c>
      <c r="C15" s="20" t="s">
        <v>51</v>
      </c>
      <c r="D15" s="2"/>
      <c r="E15" s="2"/>
      <c r="F15" s="2"/>
      <c r="G15" s="2"/>
      <c r="H15" s="2"/>
      <c r="I15" s="14">
        <f t="shared" si="10"/>
        <v>55</v>
      </c>
      <c r="J15" s="3">
        <f t="shared" si="11"/>
        <v>11</v>
      </c>
      <c r="K15" s="13">
        <f t="shared" si="12"/>
        <v>1641.0985977430239</v>
      </c>
      <c r="L15" s="13">
        <f t="shared" si="19"/>
        <v>66.956822787915385</v>
      </c>
      <c r="M15" s="26">
        <v>50</v>
      </c>
      <c r="N15" s="13">
        <f t="shared" si="0"/>
        <v>500000</v>
      </c>
      <c r="O15" s="30">
        <v>0.1</v>
      </c>
      <c r="P15" s="39">
        <f t="shared" si="1"/>
        <v>50</v>
      </c>
      <c r="Q15" s="39">
        <f t="shared" si="2"/>
        <v>5</v>
      </c>
      <c r="R15" s="35"/>
      <c r="S15" s="43">
        <f>VLOOKUP(I15,'Mortality Table Latest'!$A$3:$E$123,4,FALSE)*1000</f>
        <v>2.8109999999999999</v>
      </c>
      <c r="T15" s="33">
        <v>6.1751981070953072E-3</v>
      </c>
      <c r="U15" s="37">
        <f t="shared" si="20"/>
        <v>0.91809717590460249</v>
      </c>
      <c r="V15" s="37">
        <f t="shared" si="13"/>
        <v>2.5807711614678377E-3</v>
      </c>
      <c r="W15" s="37">
        <f t="shared" si="14"/>
        <v>5.6694319427756483E-3</v>
      </c>
      <c r="X15" s="36">
        <f t="shared" si="21"/>
        <v>0.90984697280035898</v>
      </c>
      <c r="Y15" s="35"/>
      <c r="Z15" s="6">
        <f t="shared" si="15"/>
        <v>45.904858795230126</v>
      </c>
      <c r="AA15" s="6">
        <f t="shared" si="15"/>
        <v>4.5904858795230128</v>
      </c>
      <c r="AB15" s="6">
        <f t="shared" si="3"/>
        <v>45.492348640017951</v>
      </c>
      <c r="AC15" s="6">
        <f t="shared" si="4"/>
        <v>4.5492348640017948</v>
      </c>
      <c r="AD15" s="35"/>
      <c r="AE15" s="6">
        <f t="shared" si="5"/>
        <v>1493.1485912234043</v>
      </c>
      <c r="AF15" s="6">
        <f t="shared" si="6"/>
        <v>-60.920462521914907</v>
      </c>
      <c r="AG15" s="6">
        <f t="shared" si="6"/>
        <v>-45.492348640017951</v>
      </c>
      <c r="AH15" s="6">
        <f t="shared" si="16"/>
        <v>-1290.3855807339189</v>
      </c>
      <c r="AI15" s="6">
        <f t="shared" ref="AI15:AI24" si="23">SUM(AE15:AH15)</f>
        <v>96.350199327552446</v>
      </c>
      <c r="AJ15" s="6">
        <f t="shared" si="22"/>
        <v>0.41183337176130957</v>
      </c>
      <c r="AK15" s="6">
        <f t="shared" si="18"/>
        <v>44.036887159274407</v>
      </c>
      <c r="AL15" s="6">
        <f t="shared" ref="AL15:AL24" si="24">SUM(AI15:AK15)</f>
        <v>140.79891985858816</v>
      </c>
      <c r="AM15" s="6">
        <f t="shared" si="8"/>
        <v>4.1251015521218015E-2</v>
      </c>
      <c r="AN15" s="6">
        <f t="shared" si="9"/>
        <v>140.84017087410939</v>
      </c>
      <c r="AR15" s="27"/>
      <c r="AS15" s="27"/>
      <c r="AT15" s="23"/>
      <c r="AU15" s="23"/>
      <c r="AV15" s="32"/>
      <c r="AW15" s="32"/>
      <c r="AX15" s="23"/>
    </row>
    <row r="16" spans="1:51" x14ac:dyDescent="0.15">
      <c r="A16" s="19"/>
      <c r="B16" s="20">
        <v>1</v>
      </c>
      <c r="C16" s="85">
        <f>70%*E21</f>
        <v>0.28559999999999997</v>
      </c>
      <c r="D16" s="2" t="s">
        <v>58</v>
      </c>
      <c r="E16" s="2"/>
      <c r="F16" s="2"/>
      <c r="G16" s="5"/>
      <c r="H16" s="2"/>
      <c r="I16" s="14">
        <f t="shared" si="10"/>
        <v>56</v>
      </c>
      <c r="J16" s="3">
        <f t="shared" si="11"/>
        <v>12</v>
      </c>
      <c r="K16" s="13">
        <f t="shared" si="12"/>
        <v>1641.0985977430239</v>
      </c>
      <c r="L16" s="13">
        <f t="shared" si="19"/>
        <v>66.956822787915385</v>
      </c>
      <c r="M16" s="26">
        <v>50</v>
      </c>
      <c r="N16" s="13">
        <f t="shared" si="0"/>
        <v>500000</v>
      </c>
      <c r="O16" s="30">
        <v>0.1</v>
      </c>
      <c r="P16" s="39">
        <f t="shared" si="1"/>
        <v>50</v>
      </c>
      <c r="Q16" s="39">
        <f t="shared" si="2"/>
        <v>5</v>
      </c>
      <c r="R16" s="35"/>
      <c r="S16" s="43">
        <f>VLOOKUP(I16,'Mortality Table Latest'!$A$3:$E$123,4,FALSE)*1000</f>
        <v>2.4620000000000002</v>
      </c>
      <c r="T16" s="33">
        <v>6.1946313195230798E-3</v>
      </c>
      <c r="U16" s="37">
        <f t="shared" si="20"/>
        <v>0.90984697280035898</v>
      </c>
      <c r="V16" s="37">
        <f t="shared" si="13"/>
        <v>2.2400432470344842E-3</v>
      </c>
      <c r="W16" s="37">
        <f t="shared" si="14"/>
        <v>5.6361665536823671E-3</v>
      </c>
      <c r="X16" s="36">
        <f t="shared" si="21"/>
        <v>0.90197076299964207</v>
      </c>
      <c r="Y16" s="35"/>
      <c r="Z16" s="6">
        <f>AB15</f>
        <v>45.492348640017951</v>
      </c>
      <c r="AA16" s="6">
        <f t="shared" si="15"/>
        <v>4.5492348640017948</v>
      </c>
      <c r="AB16" s="6">
        <f t="shared" si="3"/>
        <v>45.098538149982105</v>
      </c>
      <c r="AC16" s="6">
        <f t="shared" si="4"/>
        <v>4.5098538149982108</v>
      </c>
      <c r="AD16" s="24"/>
      <c r="AE16" s="6">
        <f t="shared" si="5"/>
        <v>1480.222954363918</v>
      </c>
      <c r="AF16" s="6">
        <f t="shared" si="6"/>
        <v>-60.393096538047864</v>
      </c>
      <c r="AG16" s="6">
        <f t="shared" si="6"/>
        <v>-45.098538149982105</v>
      </c>
      <c r="AH16" s="6">
        <f t="shared" si="16"/>
        <v>-1120.021623517242</v>
      </c>
      <c r="AI16" s="6">
        <f t="shared" si="23"/>
        <v>254.70969615864624</v>
      </c>
      <c r="AJ16" s="6">
        <f t="shared" si="22"/>
        <v>0.41251015521217432</v>
      </c>
      <c r="AK16" s="6">
        <f t="shared" si="18"/>
        <v>43.65518180749774</v>
      </c>
      <c r="AL16" s="6">
        <f t="shared" si="24"/>
        <v>298.77738812135613</v>
      </c>
      <c r="AM16" s="6">
        <f t="shared" si="8"/>
        <v>3.9381049003583968E-2</v>
      </c>
      <c r="AN16" s="6">
        <f t="shared" si="9"/>
        <v>298.81676917035969</v>
      </c>
      <c r="AR16" s="27"/>
      <c r="AS16" s="27"/>
      <c r="AT16" s="23"/>
      <c r="AU16" s="23"/>
      <c r="AV16" s="32"/>
      <c r="AW16" s="32"/>
      <c r="AX16" s="23"/>
    </row>
    <row r="17" spans="1:50" x14ac:dyDescent="0.15">
      <c r="A17" s="19"/>
      <c r="B17" s="21" t="s">
        <v>59</v>
      </c>
      <c r="C17" s="85">
        <f>10%*E21</f>
        <v>4.0800000000000003E-2</v>
      </c>
      <c r="D17" s="2" t="s">
        <v>60</v>
      </c>
      <c r="E17" s="2"/>
      <c r="F17" s="2"/>
      <c r="G17" s="5"/>
      <c r="H17" s="2"/>
      <c r="I17" s="14">
        <f t="shared" si="10"/>
        <v>57</v>
      </c>
      <c r="J17" s="3">
        <f t="shared" si="11"/>
        <v>13</v>
      </c>
      <c r="K17" s="13">
        <f t="shared" si="12"/>
        <v>1641.0985977430239</v>
      </c>
      <c r="L17" s="13">
        <f>K17*$C$17</f>
        <v>66.956822787915385</v>
      </c>
      <c r="M17" s="26">
        <v>50</v>
      </c>
      <c r="N17" s="13">
        <f t="shared" si="0"/>
        <v>500000</v>
      </c>
      <c r="O17" s="30">
        <v>0.1</v>
      </c>
      <c r="P17" s="39">
        <f t="shared" si="1"/>
        <v>50</v>
      </c>
      <c r="Q17" s="39">
        <f t="shared" si="2"/>
        <v>5</v>
      </c>
      <c r="R17" s="35"/>
      <c r="S17" s="43">
        <f>VLOOKUP(I17,'Mortality Table Latest'!$A$3:$E$123,4,FALSE)*1000</f>
        <v>2.7030000000000003</v>
      </c>
      <c r="T17" s="33">
        <v>6.0987029306397147E-3</v>
      </c>
      <c r="U17" s="37">
        <f t="shared" si="20"/>
        <v>0.90197076299964207</v>
      </c>
      <c r="V17" s="37">
        <f t="shared" si="13"/>
        <v>2.4380269723880328E-3</v>
      </c>
      <c r="W17" s="37">
        <f t="shared" si="14"/>
        <v>5.5008517356572566E-3</v>
      </c>
      <c r="X17" s="36">
        <f t="shared" si="21"/>
        <v>0.89403188429159675</v>
      </c>
      <c r="Y17" s="35"/>
      <c r="Z17" s="6">
        <f t="shared" si="15"/>
        <v>45.098538149982105</v>
      </c>
      <c r="AA17" s="6">
        <f t="shared" si="15"/>
        <v>4.5098538149982108</v>
      </c>
      <c r="AB17" s="6">
        <f t="shared" si="3"/>
        <v>44.701594214579835</v>
      </c>
      <c r="AC17" s="6">
        <f t="shared" si="4"/>
        <v>4.4701594214579838</v>
      </c>
      <c r="AD17" s="25"/>
      <c r="AE17" s="6">
        <f t="shared" si="5"/>
        <v>1467.1944716484927</v>
      </c>
      <c r="AF17" s="6">
        <f t="shared" si="6"/>
        <v>-59.861534443258513</v>
      </c>
      <c r="AG17" s="6">
        <f t="shared" si="6"/>
        <v>-44.701594214579835</v>
      </c>
      <c r="AH17" s="6">
        <f t="shared" si="16"/>
        <v>-1219.0134861940164</v>
      </c>
      <c r="AI17" s="6">
        <f t="shared" si="23"/>
        <v>143.61785679663785</v>
      </c>
      <c r="AJ17" s="6">
        <f t="shared" si="22"/>
        <v>0.39381049003584662</v>
      </c>
      <c r="AK17" s="6">
        <f t="shared" si="18"/>
        <v>43.27115747635537</v>
      </c>
      <c r="AL17" s="6">
        <f t="shared" si="24"/>
        <v>187.28282476302905</v>
      </c>
      <c r="AM17" s="6">
        <f t="shared" si="8"/>
        <v>3.9694393540226969E-2</v>
      </c>
      <c r="AN17" s="6">
        <f t="shared" si="9"/>
        <v>187.32251915656929</v>
      </c>
      <c r="AR17" s="27"/>
      <c r="AS17" s="27"/>
      <c r="AT17" s="23"/>
      <c r="AU17" s="23"/>
      <c r="AV17" s="32"/>
      <c r="AW17" s="32"/>
      <c r="AX17" s="23"/>
    </row>
    <row r="18" spans="1:50" x14ac:dyDescent="0.15">
      <c r="A18" s="15" t="s">
        <v>61</v>
      </c>
      <c r="B18" s="17"/>
      <c r="C18" s="4"/>
      <c r="D18" s="2"/>
      <c r="E18" s="2"/>
      <c r="F18" s="2"/>
      <c r="G18" s="2"/>
      <c r="H18" s="2"/>
      <c r="I18" s="14">
        <f t="shared" si="10"/>
        <v>58</v>
      </c>
      <c r="J18" s="3">
        <f t="shared" si="11"/>
        <v>14</v>
      </c>
      <c r="K18" s="13">
        <f t="shared" si="12"/>
        <v>1641.0985977430239</v>
      </c>
      <c r="L18" s="13">
        <f t="shared" si="19"/>
        <v>66.956822787915385</v>
      </c>
      <c r="M18" s="26">
        <v>50</v>
      </c>
      <c r="N18" s="13">
        <f t="shared" si="0"/>
        <v>500000</v>
      </c>
      <c r="O18" s="30">
        <v>0.1</v>
      </c>
      <c r="P18" s="39">
        <f t="shared" si="1"/>
        <v>50</v>
      </c>
      <c r="Q18" s="39">
        <f t="shared" si="2"/>
        <v>5</v>
      </c>
      <c r="R18" s="35"/>
      <c r="S18" s="43">
        <f>VLOOKUP(I18,'Mortality Table Latest'!$A$3:$E$123,4,FALSE)*1000</f>
        <v>2.968</v>
      </c>
      <c r="T18" s="33">
        <v>6.130532116411228E-3</v>
      </c>
      <c r="U18" s="37">
        <f t="shared" si="20"/>
        <v>0.89403188429159675</v>
      </c>
      <c r="V18" s="37">
        <f t="shared" si="13"/>
        <v>2.6534866325774592E-3</v>
      </c>
      <c r="W18" s="37">
        <f t="shared" si="14"/>
        <v>5.480891179745281E-3</v>
      </c>
      <c r="X18" s="36">
        <f t="shared" si="21"/>
        <v>0.88589750647927401</v>
      </c>
      <c r="Y18" s="35"/>
      <c r="Z18" s="6">
        <f t="shared" si="15"/>
        <v>44.701594214579835</v>
      </c>
      <c r="AA18" s="6">
        <f t="shared" si="15"/>
        <v>4.4701594214579838</v>
      </c>
      <c r="AB18" s="6">
        <f t="shared" si="3"/>
        <v>44.294875323963701</v>
      </c>
      <c r="AC18" s="6">
        <f t="shared" si="4"/>
        <v>4.4294875323963705</v>
      </c>
      <c r="AD18" s="24"/>
      <c r="AE18" s="6">
        <f t="shared" si="5"/>
        <v>1453.845155627178</v>
      </c>
      <c r="AF18" s="6">
        <f t="shared" si="6"/>
        <v>-59.316882349588873</v>
      </c>
      <c r="AG18" s="6">
        <f t="shared" si="6"/>
        <v>-44.294875323963701</v>
      </c>
      <c r="AH18" s="6">
        <f t="shared" si="16"/>
        <v>-1326.7433162887296</v>
      </c>
      <c r="AI18" s="6">
        <f t="shared" si="23"/>
        <v>23.490081664895797</v>
      </c>
      <c r="AJ18" s="6">
        <f t="shared" si="22"/>
        <v>0.39694393540226636</v>
      </c>
      <c r="AK18" s="6">
        <f t="shared" si="18"/>
        <v>42.877890799334722</v>
      </c>
      <c r="AL18" s="6">
        <f t="shared" si="24"/>
        <v>66.764916399632781</v>
      </c>
      <c r="AM18" s="6">
        <f t="shared" si="8"/>
        <v>4.0671889061613342E-2</v>
      </c>
      <c r="AN18" s="6">
        <f t="shared" si="9"/>
        <v>66.805588288694395</v>
      </c>
      <c r="AR18" s="27"/>
      <c r="AS18" s="27"/>
      <c r="AT18" s="23"/>
      <c r="AU18" s="23"/>
      <c r="AV18" s="32"/>
      <c r="AW18" s="32"/>
      <c r="AX18" s="23"/>
    </row>
    <row r="19" spans="1:50" x14ac:dyDescent="0.15">
      <c r="A19" s="15"/>
      <c r="B19" s="16" t="s">
        <v>50</v>
      </c>
      <c r="C19" s="16" t="s">
        <v>51</v>
      </c>
      <c r="D19" s="2"/>
      <c r="E19" s="2"/>
      <c r="F19" s="2"/>
      <c r="G19" s="5"/>
      <c r="H19" s="5"/>
      <c r="I19" s="14">
        <f t="shared" si="10"/>
        <v>59</v>
      </c>
      <c r="J19" s="3">
        <f t="shared" si="11"/>
        <v>15</v>
      </c>
      <c r="K19" s="13">
        <f t="shared" si="12"/>
        <v>1641.0985977430239</v>
      </c>
      <c r="L19" s="13">
        <f t="shared" si="19"/>
        <v>66.956822787915385</v>
      </c>
      <c r="M19" s="26">
        <v>50</v>
      </c>
      <c r="N19" s="13">
        <f t="shared" si="0"/>
        <v>500000</v>
      </c>
      <c r="O19" s="30">
        <v>0.1</v>
      </c>
      <c r="P19" s="39">
        <f t="shared" si="1"/>
        <v>50</v>
      </c>
      <c r="Q19" s="39">
        <f t="shared" si="2"/>
        <v>5</v>
      </c>
      <c r="R19" s="35"/>
      <c r="S19" s="43">
        <f>VLOOKUP(I19,'Mortality Table Latest'!$A$3:$E$123,4,FALSE)*1000</f>
        <v>3.286</v>
      </c>
      <c r="T19" s="33">
        <v>6.2156755918412795E-3</v>
      </c>
      <c r="U19" s="37">
        <f t="shared" si="20"/>
        <v>0.88589750647927401</v>
      </c>
      <c r="V19" s="37">
        <f t="shared" si="13"/>
        <v>2.9110592062908942E-3</v>
      </c>
      <c r="W19" s="37">
        <f t="shared" si="14"/>
        <v>5.5064515078962753E-3</v>
      </c>
      <c r="X19" s="36">
        <f t="shared" si="21"/>
        <v>0.87747999576508684</v>
      </c>
      <c r="Y19" s="35"/>
      <c r="Z19" s="6">
        <f t="shared" si="15"/>
        <v>44.294875323963701</v>
      </c>
      <c r="AA19" s="6">
        <f t="shared" si="15"/>
        <v>4.4294875323963705</v>
      </c>
      <c r="AB19" s="6">
        <f t="shared" si="3"/>
        <v>43.873999788254345</v>
      </c>
      <c r="AC19" s="6">
        <f t="shared" si="4"/>
        <v>4.3873999788254343</v>
      </c>
      <c r="AE19" s="6">
        <f t="shared" si="5"/>
        <v>1440.0311905976387</v>
      </c>
      <c r="AF19" s="6">
        <f t="shared" si="6"/>
        <v>-58.753272576383665</v>
      </c>
      <c r="AG19" s="6">
        <f t="shared" si="6"/>
        <v>-43.873999788254345</v>
      </c>
      <c r="AH19" s="6">
        <f t="shared" si="16"/>
        <v>-1455.529603145447</v>
      </c>
      <c r="AI19" s="6">
        <f t="shared" si="23"/>
        <v>-118.12568491244633</v>
      </c>
      <c r="AJ19" s="6">
        <f t="shared" si="22"/>
        <v>0.40671889061613675</v>
      </c>
      <c r="AK19" s="6">
        <f t="shared" si="18"/>
        <v>42.471067742065173</v>
      </c>
      <c r="AL19" s="6">
        <f t="shared" si="24"/>
        <v>-75.247898279765025</v>
      </c>
      <c r="AM19" s="6">
        <f t="shared" si="8"/>
        <v>4.2087553570936187E-2</v>
      </c>
      <c r="AN19" s="6">
        <f t="shared" si="9"/>
        <v>-75.205810726194088</v>
      </c>
      <c r="AR19" s="27"/>
      <c r="AS19" s="27"/>
      <c r="AT19" s="23"/>
      <c r="AU19" s="23"/>
      <c r="AV19" s="32"/>
      <c r="AW19" s="32"/>
      <c r="AX19" s="23"/>
    </row>
    <row r="20" spans="1:50" x14ac:dyDescent="0.15">
      <c r="A20" s="15"/>
      <c r="B20" s="16">
        <v>1</v>
      </c>
      <c r="C20" s="12">
        <v>100</v>
      </c>
      <c r="D20" s="2"/>
      <c r="E20" s="2"/>
      <c r="F20" s="2"/>
      <c r="G20" s="2"/>
      <c r="H20" s="2"/>
      <c r="I20" s="14">
        <f t="shared" si="10"/>
        <v>60</v>
      </c>
      <c r="J20" s="3">
        <f t="shared" si="11"/>
        <v>16</v>
      </c>
      <c r="K20" s="13">
        <f t="shared" si="12"/>
        <v>1641.0985977430239</v>
      </c>
      <c r="L20" s="13">
        <f>K20*$C$17</f>
        <v>66.956822787915385</v>
      </c>
      <c r="M20" s="26">
        <v>50</v>
      </c>
      <c r="N20" s="13">
        <f t="shared" si="0"/>
        <v>500000</v>
      </c>
      <c r="O20" s="30">
        <v>0.1</v>
      </c>
      <c r="P20" s="39">
        <f t="shared" si="1"/>
        <v>50</v>
      </c>
      <c r="Q20" s="39">
        <f t="shared" si="2"/>
        <v>5</v>
      </c>
      <c r="R20" s="35"/>
      <c r="S20" s="43">
        <f>VLOOKUP(I20,'Mortality Table Latest'!$A$3:$E$123,4,FALSE)*1000</f>
        <v>3.625</v>
      </c>
      <c r="T20" s="33">
        <v>6.0689333954354911E-3</v>
      </c>
      <c r="U20" s="37">
        <f t="shared" si="20"/>
        <v>0.87747999576508684</v>
      </c>
      <c r="V20" s="37">
        <f t="shared" si="13"/>
        <v>3.1808649846484399E-3</v>
      </c>
      <c r="W20" s="37">
        <f t="shared" si="14"/>
        <v>5.3253676501253287E-3</v>
      </c>
      <c r="X20" s="36">
        <f t="shared" si="21"/>
        <v>0.86897376313031305</v>
      </c>
      <c r="Y20" s="35"/>
      <c r="Z20" s="6">
        <f t="shared" si="15"/>
        <v>43.873999788254345</v>
      </c>
      <c r="AA20" s="6">
        <f t="shared" si="15"/>
        <v>4.3873999788254343</v>
      </c>
      <c r="AB20" s="6">
        <f t="shared" si="3"/>
        <v>43.448688156515651</v>
      </c>
      <c r="AC20" s="6">
        <f t="shared" si="4"/>
        <v>4.3448688156515649</v>
      </c>
      <c r="AD20" s="24"/>
      <c r="AE20" s="6">
        <f t="shared" si="5"/>
        <v>1426.0716241486352</v>
      </c>
      <c r="AF20" s="6">
        <f t="shared" si="6"/>
        <v>-58.183722265264329</v>
      </c>
      <c r="AG20" s="6">
        <f t="shared" si="6"/>
        <v>-43.448688156515651</v>
      </c>
      <c r="AH20" s="6">
        <f t="shared" si="16"/>
        <v>-1590.43249232422</v>
      </c>
      <c r="AI20" s="6">
        <f t="shared" si="23"/>
        <v>-265.99327859736468</v>
      </c>
      <c r="AJ20" s="6">
        <f t="shared" si="22"/>
        <v>0.42087553570935304</v>
      </c>
      <c r="AK20" s="6">
        <f t="shared" si="18"/>
        <v>42.059634259018388</v>
      </c>
      <c r="AL20" s="6">
        <f t="shared" si="24"/>
        <v>-223.51276880263694</v>
      </c>
      <c r="AM20" s="6">
        <f t="shared" si="8"/>
        <v>4.2531163173869402E-2</v>
      </c>
      <c r="AN20" s="6">
        <f t="shared" si="9"/>
        <v>-223.47023763946308</v>
      </c>
      <c r="AR20" s="27"/>
      <c r="AS20" s="27"/>
      <c r="AT20" s="23"/>
      <c r="AU20" s="23"/>
      <c r="AV20" s="32"/>
      <c r="AW20" s="32"/>
      <c r="AX20" s="23"/>
    </row>
    <row r="21" spans="1:50" ht="28" x14ac:dyDescent="0.15">
      <c r="A21" s="15"/>
      <c r="B21" s="17" t="s">
        <v>59</v>
      </c>
      <c r="C21" s="12">
        <v>50</v>
      </c>
      <c r="D21" s="2"/>
      <c r="E21" s="47">
        <v>0.40799999999999997</v>
      </c>
      <c r="F21" s="18" t="s">
        <v>62</v>
      </c>
      <c r="G21" s="5"/>
      <c r="H21" s="5"/>
      <c r="I21" s="14">
        <f t="shared" si="10"/>
        <v>61</v>
      </c>
      <c r="J21" s="3">
        <f t="shared" si="11"/>
        <v>17</v>
      </c>
      <c r="K21" s="13">
        <f t="shared" si="12"/>
        <v>1641.0985977430239</v>
      </c>
      <c r="L21" s="13">
        <f t="shared" si="19"/>
        <v>66.956822787915385</v>
      </c>
      <c r="M21" s="26">
        <v>50</v>
      </c>
      <c r="N21" s="13">
        <f t="shared" si="0"/>
        <v>500000</v>
      </c>
      <c r="O21" s="30">
        <v>0.1</v>
      </c>
      <c r="P21" s="39">
        <f t="shared" si="1"/>
        <v>50</v>
      </c>
      <c r="Q21" s="39">
        <f t="shared" si="2"/>
        <v>5</v>
      </c>
      <c r="R21" s="35"/>
      <c r="S21" s="43">
        <f>VLOOKUP(I21,'Mortality Table Latest'!$A$3:$E$123,4,FALSE)*1000</f>
        <v>3.9620000000000002</v>
      </c>
      <c r="T21" s="33">
        <v>6.0125762594170394E-3</v>
      </c>
      <c r="U21" s="37">
        <f t="shared" si="20"/>
        <v>0.86897376313031305</v>
      </c>
      <c r="V21" s="37">
        <f t="shared" si="13"/>
        <v>3.4428740495223002E-3</v>
      </c>
      <c r="W21" s="37">
        <f t="shared" si="14"/>
        <v>5.2247710182536057E-3</v>
      </c>
      <c r="X21" s="36">
        <f t="shared" si="21"/>
        <v>0.8603061180625371</v>
      </c>
      <c r="Y21" s="35"/>
      <c r="Z21" s="6">
        <f t="shared" si="15"/>
        <v>43.448688156515651</v>
      </c>
      <c r="AA21" s="6">
        <f t="shared" si="15"/>
        <v>4.3448688156515649</v>
      </c>
      <c r="AB21" s="6">
        <f t="shared" si="3"/>
        <v>43.015305903126858</v>
      </c>
      <c r="AC21" s="6">
        <f t="shared" si="4"/>
        <v>4.3015305903126855</v>
      </c>
      <c r="AD21" s="35"/>
      <c r="AE21" s="6">
        <f>$X21*K21</f>
        <v>1411.8471639821739</v>
      </c>
      <c r="AF21" s="6">
        <f t="shared" ref="AF21:AG24" si="25">-$X21*L21</f>
        <v>-57.603364290472705</v>
      </c>
      <c r="AG21" s="6">
        <f t="shared" si="25"/>
        <v>-43.015305903126858</v>
      </c>
      <c r="AH21" s="6">
        <f t="shared" si="16"/>
        <v>-1721.43702476115</v>
      </c>
      <c r="AI21" s="6">
        <f t="shared" si="23"/>
        <v>-410.20853097257555</v>
      </c>
      <c r="AJ21" s="6">
        <f t="shared" si="22"/>
        <v>0.42531163173869374</v>
      </c>
      <c r="AK21" s="6">
        <f t="shared" si="18"/>
        <v>41.640509492916891</v>
      </c>
      <c r="AL21" s="6">
        <f t="shared" si="24"/>
        <v>-368.14270984791995</v>
      </c>
      <c r="AM21" s="6">
        <f t="shared" si="8"/>
        <v>4.3338225338879433E-2</v>
      </c>
      <c r="AN21" s="6">
        <f t="shared" si="9"/>
        <v>-368.09937162258109</v>
      </c>
      <c r="AR21" s="27"/>
      <c r="AS21" s="27"/>
      <c r="AT21" s="23"/>
      <c r="AU21" s="23"/>
      <c r="AV21" s="32"/>
      <c r="AW21" s="32"/>
      <c r="AX21" s="23"/>
    </row>
    <row r="22" spans="1:50" x14ac:dyDescent="0.15">
      <c r="A22" t="s">
        <v>63</v>
      </c>
      <c r="B22" s="48">
        <v>2.52E-2</v>
      </c>
      <c r="C22" s="10"/>
      <c r="F22" s="3"/>
      <c r="G22" s="10"/>
      <c r="I22" s="14">
        <f t="shared" si="10"/>
        <v>62</v>
      </c>
      <c r="J22" s="3">
        <f t="shared" si="11"/>
        <v>18</v>
      </c>
      <c r="K22" s="13">
        <f t="shared" si="12"/>
        <v>1641.0985977430239</v>
      </c>
      <c r="L22" s="13">
        <f t="shared" si="19"/>
        <v>66.956822787915385</v>
      </c>
      <c r="M22" s="26">
        <v>50</v>
      </c>
      <c r="N22" s="13">
        <f t="shared" si="0"/>
        <v>500000</v>
      </c>
      <c r="O22" s="30">
        <v>0.1</v>
      </c>
      <c r="P22" s="39">
        <f t="shared" si="1"/>
        <v>50</v>
      </c>
      <c r="Q22" s="39">
        <f t="shared" si="2"/>
        <v>5</v>
      </c>
      <c r="R22" s="35"/>
      <c r="S22" s="43">
        <f>VLOOKUP(I22,'Mortality Table Latest'!$A$3:$E$123,4,FALSE)*1000</f>
        <v>4.3330000000000002</v>
      </c>
      <c r="T22" s="33">
        <v>5.9179638399499933E-3</v>
      </c>
      <c r="U22" s="37">
        <f t="shared" si="20"/>
        <v>0.8603061180625371</v>
      </c>
      <c r="V22" s="37">
        <f t="shared" si="13"/>
        <v>3.7277064095649734E-3</v>
      </c>
      <c r="W22" s="37">
        <f t="shared" si="14"/>
        <v>5.0912604979818444E-3</v>
      </c>
      <c r="X22" s="36">
        <f t="shared" si="21"/>
        <v>0.8514871511549903</v>
      </c>
      <c r="Y22" s="35"/>
      <c r="Z22" s="6">
        <f t="shared" ref="Z22:AA24" si="26">AB21</f>
        <v>43.015305903126858</v>
      </c>
      <c r="AA22" s="6">
        <f t="shared" si="26"/>
        <v>4.3015305903126855</v>
      </c>
      <c r="AB22" s="6">
        <f t="shared" si="3"/>
        <v>42.574357557749515</v>
      </c>
      <c r="AC22" s="6">
        <f t="shared" si="4"/>
        <v>4.2574357557749511</v>
      </c>
      <c r="AE22" s="6">
        <f t="shared" si="5"/>
        <v>1397.3743697566567</v>
      </c>
      <c r="AF22" s="6">
        <f t="shared" si="25"/>
        <v>-57.012874286071607</v>
      </c>
      <c r="AG22" s="6">
        <f t="shared" si="25"/>
        <v>-42.574357557749515</v>
      </c>
      <c r="AH22" s="6">
        <f t="shared" si="16"/>
        <v>-1863.8532047824867</v>
      </c>
      <c r="AI22" s="6">
        <f t="shared" si="23"/>
        <v>-566.06606686965097</v>
      </c>
      <c r="AJ22" s="6">
        <f t="shared" si="22"/>
        <v>0.43338225338879904</v>
      </c>
      <c r="AK22" s="6">
        <f t="shared" si="18"/>
        <v>41.214046459331534</v>
      </c>
      <c r="AL22" s="6">
        <f t="shared" si="24"/>
        <v>-524.41863815693068</v>
      </c>
      <c r="AM22" s="6">
        <f t="shared" si="8"/>
        <v>4.4094834537734329E-2</v>
      </c>
      <c r="AN22" s="6">
        <f t="shared" si="9"/>
        <v>-524.37454332239292</v>
      </c>
      <c r="AR22" s="27"/>
      <c r="AS22" s="27"/>
      <c r="AT22" s="23"/>
      <c r="AU22" s="23"/>
      <c r="AV22" s="32"/>
      <c r="AW22" s="32"/>
      <c r="AX22" s="23"/>
    </row>
    <row r="23" spans="1:50" x14ac:dyDescent="0.15">
      <c r="B23" s="3"/>
      <c r="C23" s="10"/>
      <c r="F23" s="3"/>
      <c r="G23" s="10"/>
      <c r="I23" s="14">
        <f t="shared" si="10"/>
        <v>63</v>
      </c>
      <c r="J23" s="3">
        <f t="shared" si="11"/>
        <v>19</v>
      </c>
      <c r="K23" s="13">
        <f t="shared" si="12"/>
        <v>1641.0985977430239</v>
      </c>
      <c r="L23" s="13">
        <f>K23*$C$17</f>
        <v>66.956822787915385</v>
      </c>
      <c r="M23" s="26">
        <v>50</v>
      </c>
      <c r="N23" s="13">
        <f t="shared" si="0"/>
        <v>500000</v>
      </c>
      <c r="O23" s="30">
        <v>0.1</v>
      </c>
      <c r="P23" s="39">
        <f t="shared" si="1"/>
        <v>50</v>
      </c>
      <c r="Q23" s="39">
        <f t="shared" si="2"/>
        <v>5</v>
      </c>
      <c r="R23" s="35"/>
      <c r="S23" s="43">
        <f>VLOOKUP(I23,'Mortality Table Latest'!$A$3:$E$123,4,FALSE)*1000</f>
        <v>4.7280000000000006</v>
      </c>
      <c r="T23" s="33">
        <v>5.8785501874757578E-3</v>
      </c>
      <c r="U23" s="37">
        <f t="shared" si="20"/>
        <v>0.8514871511549903</v>
      </c>
      <c r="V23" s="37">
        <f t="shared" si="13"/>
        <v>4.0258312506607948E-3</v>
      </c>
      <c r="W23" s="37">
        <f t="shared" si="14"/>
        <v>5.0055099520553668E-3</v>
      </c>
      <c r="X23" s="36">
        <f t="shared" si="21"/>
        <v>0.84245580995227409</v>
      </c>
      <c r="Y23" s="35"/>
      <c r="Z23" s="6">
        <f t="shared" si="26"/>
        <v>42.574357557749515</v>
      </c>
      <c r="AA23" s="6">
        <f t="shared" si="26"/>
        <v>4.2574357557749511</v>
      </c>
      <c r="AB23" s="6">
        <f t="shared" si="3"/>
        <v>42.122790497613707</v>
      </c>
      <c r="AC23" s="6">
        <f t="shared" si="4"/>
        <v>4.2122790497613707</v>
      </c>
      <c r="AE23" s="6">
        <f t="shared" si="5"/>
        <v>1382.5530483731404</v>
      </c>
      <c r="AF23" s="6">
        <f t="shared" si="25"/>
        <v>-56.408164373624139</v>
      </c>
      <c r="AG23" s="6">
        <f t="shared" si="25"/>
        <v>-42.122790497613707</v>
      </c>
      <c r="AH23" s="6">
        <f t="shared" si="16"/>
        <v>-2012.9156253303975</v>
      </c>
      <c r="AI23" s="6">
        <f t="shared" si="23"/>
        <v>-728.89353182849504</v>
      </c>
      <c r="AJ23" s="6">
        <f t="shared" si="22"/>
        <v>0.44094834537733441</v>
      </c>
      <c r="AK23" s="6">
        <f t="shared" si="18"/>
        <v>40.777407316197312</v>
      </c>
      <c r="AL23" s="6">
        <f t="shared" si="24"/>
        <v>-687.67517616692032</v>
      </c>
      <c r="AM23" s="6">
        <f t="shared" si="8"/>
        <v>4.5156706013580461E-2</v>
      </c>
      <c r="AN23" s="6">
        <f t="shared" si="9"/>
        <v>-687.63001946090674</v>
      </c>
      <c r="AR23" s="27"/>
      <c r="AS23" s="27"/>
      <c r="AT23" s="23"/>
      <c r="AU23" s="23"/>
      <c r="AV23" s="32"/>
      <c r="AW23" s="32"/>
      <c r="AX23" s="23"/>
    </row>
    <row r="24" spans="1:50" x14ac:dyDescent="0.15">
      <c r="B24" s="3"/>
      <c r="C24" s="10"/>
      <c r="F24" s="3"/>
      <c r="G24" s="10"/>
      <c r="I24" s="14">
        <f t="shared" si="10"/>
        <v>64</v>
      </c>
      <c r="J24" s="3">
        <f t="shared" si="11"/>
        <v>20</v>
      </c>
      <c r="K24" s="13">
        <f t="shared" si="12"/>
        <v>1641.0985977430239</v>
      </c>
      <c r="L24" s="13">
        <f t="shared" si="19"/>
        <v>66.956822787915385</v>
      </c>
      <c r="M24" s="26">
        <v>50</v>
      </c>
      <c r="N24" s="13">
        <f t="shared" si="0"/>
        <v>500000</v>
      </c>
      <c r="O24" s="30">
        <v>0.1</v>
      </c>
      <c r="P24" s="39">
        <f t="shared" si="1"/>
        <v>50</v>
      </c>
      <c r="Q24" s="39">
        <f t="shared" si="2"/>
        <v>5</v>
      </c>
      <c r="R24" s="35"/>
      <c r="S24" s="43">
        <f>VLOOKUP(I24,'Mortality Table Latest'!$A$3:$E$123,4,FALSE)*1000</f>
        <v>5.1669999999999998</v>
      </c>
      <c r="T24" s="33">
        <v>0.58662149964898991</v>
      </c>
      <c r="U24" s="37">
        <f t="shared" si="20"/>
        <v>0.84245580995227409</v>
      </c>
      <c r="V24" s="37">
        <f t="shared" si="13"/>
        <v>4.3529691700233998E-3</v>
      </c>
      <c r="W24" s="37">
        <f t="shared" si="14"/>
        <v>0.49420269062220745</v>
      </c>
      <c r="X24" s="36">
        <f t="shared" si="21"/>
        <v>0.34390015016004322</v>
      </c>
      <c r="Y24" s="35"/>
      <c r="Z24" s="6">
        <f t="shared" si="26"/>
        <v>42.122790497613707</v>
      </c>
      <c r="AA24" s="6">
        <f t="shared" si="26"/>
        <v>4.2122790497613707</v>
      </c>
      <c r="AB24" s="6">
        <f t="shared" si="3"/>
        <v>17.19500750800216</v>
      </c>
      <c r="AC24" s="6">
        <f t="shared" si="4"/>
        <v>1.719500750800216</v>
      </c>
      <c r="AE24" s="6">
        <f t="shared" si="5"/>
        <v>564.3740541912623</v>
      </c>
      <c r="AF24" s="6">
        <f t="shared" si="25"/>
        <v>-23.026461411003506</v>
      </c>
      <c r="AG24" s="6">
        <f t="shared" si="25"/>
        <v>-17.19500750800216</v>
      </c>
      <c r="AH24" s="6">
        <f t="shared" si="16"/>
        <v>-2176.4845850116999</v>
      </c>
      <c r="AI24" s="6">
        <f t="shared" si="23"/>
        <v>-1652.3319997394433</v>
      </c>
      <c r="AJ24" s="6">
        <f t="shared" si="22"/>
        <v>0.45156706013581294</v>
      </c>
      <c r="AK24" s="6">
        <f t="shared" si="18"/>
        <v>17.454175071130724</v>
      </c>
      <c r="AL24" s="6">
        <f t="shared" si="24"/>
        <v>-1634.4262576081767</v>
      </c>
      <c r="AM24" s="6">
        <f t="shared" si="8"/>
        <v>2.4927782989611549</v>
      </c>
      <c r="AN24" s="6">
        <f t="shared" si="9"/>
        <v>-1631.9334793092155</v>
      </c>
      <c r="AR24" s="27"/>
      <c r="AS24" s="27"/>
      <c r="AT24" s="23"/>
      <c r="AU24" s="23"/>
      <c r="AV24" s="32"/>
      <c r="AW24" s="32"/>
      <c r="AX24" s="23"/>
    </row>
    <row r="25" spans="1:50" x14ac:dyDescent="0.15">
      <c r="B25" s="56" t="s">
        <v>65</v>
      </c>
      <c r="C25" s="46">
        <f>AP4</f>
        <v>3130.5628907729656</v>
      </c>
      <c r="F25" s="3"/>
      <c r="G25" s="10"/>
      <c r="J25" s="3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6"/>
      <c r="AA25" s="6"/>
      <c r="AB25" s="6"/>
      <c r="AC25" s="6"/>
      <c r="AR25" s="27"/>
      <c r="AS25" s="27"/>
      <c r="AT25" s="23"/>
      <c r="AU25" s="23"/>
      <c r="AV25" s="32"/>
      <c r="AW25" s="32"/>
      <c r="AX25" s="23"/>
    </row>
    <row r="26" spans="1:50" x14ac:dyDescent="0.15">
      <c r="B26" s="3" t="s">
        <v>66</v>
      </c>
      <c r="C26" s="10">
        <f>H3*1.2</f>
        <v>1969.3183172916285</v>
      </c>
      <c r="F26" s="3"/>
      <c r="G26" s="10"/>
      <c r="J26" s="3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6"/>
      <c r="AA26" s="6"/>
      <c r="AB26" s="6"/>
      <c r="AC26" s="6"/>
      <c r="AR26" s="27"/>
      <c r="AS26" s="27"/>
      <c r="AT26" s="23"/>
      <c r="AU26" s="23"/>
      <c r="AV26" s="32"/>
      <c r="AW26" s="32"/>
      <c r="AX26" s="23"/>
    </row>
    <row r="27" spans="1:50" x14ac:dyDescent="0.15">
      <c r="B27" s="3"/>
      <c r="C27" s="10"/>
      <c r="F27" s="3"/>
      <c r="G27" s="10"/>
      <c r="J27" s="3"/>
      <c r="AT27" s="32"/>
      <c r="AU27" s="23"/>
      <c r="AV27" s="32"/>
      <c r="AW27" s="32"/>
      <c r="AX27" s="23"/>
    </row>
    <row r="28" spans="1:50" x14ac:dyDescent="0.15">
      <c r="B28" s="3"/>
      <c r="C28" s="10"/>
      <c r="F28" s="3"/>
      <c r="G28" s="10"/>
      <c r="AD28" s="44" t="s">
        <v>67</v>
      </c>
      <c r="AE28" s="13">
        <f>SUM(AE4:AE24)</f>
        <v>30832.792343635589</v>
      </c>
      <c r="AF28" s="13">
        <f t="shared" ref="AF28:AN28" si="27">SUM(AF4:AF24)</f>
        <v>-1601.2245586724775</v>
      </c>
      <c r="AG28" s="13">
        <f t="shared" si="27"/>
        <v>-1153.504737877282</v>
      </c>
      <c r="AH28" s="13">
        <f t="shared" si="27"/>
        <v>-26788.785456914738</v>
      </c>
      <c r="AI28" s="13">
        <f t="shared" si="27"/>
        <v>1289.2775901710916</v>
      </c>
      <c r="AJ28" s="13">
        <f t="shared" si="27"/>
        <v>-42.122790497613664</v>
      </c>
      <c r="AK28" s="13">
        <f t="shared" si="27"/>
        <v>902.56839557046783</v>
      </c>
      <c r="AL28" s="13">
        <f t="shared" si="27"/>
        <v>2149.723195243947</v>
      </c>
      <c r="AM28" s="13">
        <f t="shared" si="27"/>
        <v>-1.7195007508002158</v>
      </c>
      <c r="AN28" s="13">
        <f t="shared" si="27"/>
        <v>2148.0036944931453</v>
      </c>
    </row>
    <row r="29" spans="1:50" x14ac:dyDescent="0.15">
      <c r="A29" s="51" t="s">
        <v>68</v>
      </c>
      <c r="B29" s="3">
        <v>0</v>
      </c>
      <c r="C29" s="10"/>
      <c r="F29" s="3"/>
      <c r="G29" s="10"/>
    </row>
    <row r="30" spans="1:50" x14ac:dyDescent="0.15">
      <c r="B30" s="3"/>
      <c r="C30" s="10"/>
      <c r="F30" s="3"/>
      <c r="G30" s="10"/>
    </row>
    <row r="31" spans="1:50" x14ac:dyDescent="0.15">
      <c r="B31" s="3"/>
      <c r="C31" s="10"/>
      <c r="F31" s="3"/>
      <c r="G31" s="10"/>
      <c r="H31" s="51" t="s">
        <v>107</v>
      </c>
      <c r="AD31" s="51" t="s">
        <v>69</v>
      </c>
      <c r="AE31" s="45">
        <f>AE4+NPV(5.5%,AE5:AE24)</f>
        <v>19572.108810389367</v>
      </c>
      <c r="AF31" s="45">
        <f t="shared" ref="AF31:AN31" si="28">AF4+NPV(5.5%,AF5:AF24)</f>
        <v>-1144.8381366886802</v>
      </c>
      <c r="AG31" s="45">
        <f t="shared" si="28"/>
        <v>-810.42103928864015</v>
      </c>
      <c r="AH31" s="45">
        <f t="shared" si="28"/>
        <v>-14944.195249726108</v>
      </c>
      <c r="AI31" s="45">
        <f t="shared" si="28"/>
        <v>2672.6543846859399</v>
      </c>
      <c r="AJ31" s="45">
        <f t="shared" si="28"/>
        <v>-104.58061917881969</v>
      </c>
      <c r="AK31" s="45">
        <f t="shared" si="28"/>
        <v>562.48912526584411</v>
      </c>
      <c r="AL31" s="45">
        <f t="shared" si="28"/>
        <v>3130.5628907729656</v>
      </c>
      <c r="AM31" s="45">
        <f t="shared" si="28"/>
        <v>-3.6673309925061179</v>
      </c>
      <c r="AN31" s="45">
        <f t="shared" si="28"/>
        <v>3126.8955597804588</v>
      </c>
    </row>
    <row r="32" spans="1:50" x14ac:dyDescent="0.15">
      <c r="B32" s="3"/>
      <c r="C32" s="10"/>
      <c r="F32" s="3"/>
      <c r="G32" s="10"/>
      <c r="H32" s="51" t="s">
        <v>108</v>
      </c>
      <c r="I32" s="51" t="s">
        <v>109</v>
      </c>
      <c r="AD32" s="51" t="s">
        <v>70</v>
      </c>
      <c r="AE32" s="45">
        <f>AE4+NPV(12%,AE5:AE24)</f>
        <v>13113.073610959051</v>
      </c>
      <c r="AF32" s="45">
        <f t="shared" ref="AF32:AN32" si="29">AF4+NPV(12%,AF5:AF24)</f>
        <v>-884.52728141591911</v>
      </c>
      <c r="AG32" s="45">
        <f t="shared" si="29"/>
        <v>-613.63105944485369</v>
      </c>
      <c r="AH32" s="45">
        <f t="shared" si="29"/>
        <v>-8740.0105594172164</v>
      </c>
      <c r="AI32" s="45">
        <f t="shared" si="29"/>
        <v>2874.9047106810608</v>
      </c>
      <c r="AJ32" s="45">
        <f t="shared" si="29"/>
        <v>-151.59580974975393</v>
      </c>
      <c r="AK32" s="45">
        <f t="shared" si="29"/>
        <v>365.64298916947405</v>
      </c>
      <c r="AL32" s="45">
        <f t="shared" si="29"/>
        <v>3088.9518901007818</v>
      </c>
      <c r="AM32" s="45">
        <f t="shared" si="29"/>
        <v>-4.439740603960618</v>
      </c>
      <c r="AN32" s="45">
        <f t="shared" si="29"/>
        <v>3084.5121494968198</v>
      </c>
    </row>
    <row r="33" spans="2:15" x14ac:dyDescent="0.15">
      <c r="B33" s="3"/>
      <c r="C33" s="10"/>
      <c r="F33" s="3"/>
      <c r="G33" s="10"/>
      <c r="H33" s="51" t="s">
        <v>18</v>
      </c>
      <c r="I33" t="s">
        <v>110</v>
      </c>
    </row>
    <row r="34" spans="2:15" x14ac:dyDescent="0.15">
      <c r="B34" s="3"/>
      <c r="C34" s="10"/>
      <c r="F34" s="3"/>
      <c r="G34" s="10"/>
      <c r="H34" s="51" t="s">
        <v>111</v>
      </c>
    </row>
    <row r="35" spans="2:15" x14ac:dyDescent="0.15">
      <c r="B35" s="3"/>
      <c r="C35" s="10"/>
      <c r="F35" s="3"/>
      <c r="G35" s="10"/>
      <c r="H35" s="51" t="s">
        <v>17</v>
      </c>
      <c r="I35" t="s">
        <v>112</v>
      </c>
    </row>
    <row r="36" spans="2:15" x14ac:dyDescent="0.15">
      <c r="B36" s="3"/>
      <c r="C36" s="10"/>
      <c r="F36" s="3"/>
      <c r="G36" s="10"/>
      <c r="H36" s="51" t="s">
        <v>24</v>
      </c>
    </row>
    <row r="37" spans="2:15" x14ac:dyDescent="0.15">
      <c r="B37" s="3"/>
      <c r="C37" s="10"/>
      <c r="F37" s="3"/>
      <c r="G37" s="10"/>
      <c r="H37" s="51" t="s">
        <v>113</v>
      </c>
    </row>
    <row r="38" spans="2:15" x14ac:dyDescent="0.15">
      <c r="B38" s="3"/>
      <c r="C38" s="10"/>
      <c r="F38" s="3"/>
      <c r="G38" s="10"/>
      <c r="H38" s="51" t="s">
        <v>114</v>
      </c>
    </row>
    <row r="39" spans="2:15" x14ac:dyDescent="0.15">
      <c r="B39" s="3"/>
      <c r="C39" s="10"/>
      <c r="F39" s="3"/>
      <c r="G39" s="10"/>
    </row>
    <row r="40" spans="2:15" x14ac:dyDescent="0.15">
      <c r="B40" s="3"/>
      <c r="C40" s="10"/>
      <c r="F40" s="3"/>
      <c r="G40" s="10"/>
    </row>
    <row r="41" spans="2:15" x14ac:dyDescent="0.15">
      <c r="B41" s="3"/>
      <c r="C41" s="10"/>
      <c r="F41" s="3"/>
      <c r="G41" s="10"/>
    </row>
    <row r="42" spans="2:15" x14ac:dyDescent="0.15">
      <c r="B42" s="3"/>
      <c r="C42" s="10"/>
      <c r="F42" s="3"/>
      <c r="G42" s="10"/>
    </row>
    <row r="43" spans="2:15" x14ac:dyDescent="0.15">
      <c r="B43" s="3"/>
      <c r="C43" s="10"/>
      <c r="F43" s="67" t="s">
        <v>119</v>
      </c>
      <c r="G43" s="67" t="s">
        <v>120</v>
      </c>
      <c r="H43" s="67" t="s">
        <v>77</v>
      </c>
      <c r="I43" s="67" t="s">
        <v>78</v>
      </c>
      <c r="J43" s="67" t="s">
        <v>79</v>
      </c>
      <c r="K43" s="67" t="s">
        <v>90</v>
      </c>
      <c r="L43" s="67" t="s">
        <v>121</v>
      </c>
      <c r="M43" s="67" t="s">
        <v>122</v>
      </c>
      <c r="N43" s="67" t="s">
        <v>123</v>
      </c>
      <c r="O43" s="67" t="s">
        <v>124</v>
      </c>
    </row>
    <row r="44" spans="2:15" x14ac:dyDescent="0.15">
      <c r="B44" s="3"/>
      <c r="C44" s="10"/>
      <c r="F44" s="68">
        <v>28</v>
      </c>
      <c r="G44" s="86">
        <v>579951.19999999995</v>
      </c>
      <c r="H44" s="40">
        <v>600.00005773580335</v>
      </c>
      <c r="I44" s="67">
        <v>720.00006900000005</v>
      </c>
      <c r="J44" s="87">
        <v>1316.18</v>
      </c>
      <c r="K44" s="70">
        <v>1686.13</v>
      </c>
      <c r="L44" s="71">
        <f>(K44-J44)/2</f>
        <v>184.97500000000002</v>
      </c>
      <c r="M44" s="72">
        <f>L44/I44</f>
        <v>0.25690969760170956</v>
      </c>
      <c r="N44" s="73">
        <f>O44-L44</f>
        <v>184.97500000000002</v>
      </c>
      <c r="O44" s="70">
        <f>K44-J44</f>
        <v>369.95000000000005</v>
      </c>
    </row>
    <row r="45" spans="2:15" x14ac:dyDescent="0.15">
      <c r="B45" s="3"/>
      <c r="C45" s="10"/>
      <c r="F45" s="68">
        <v>33</v>
      </c>
      <c r="G45" s="69"/>
      <c r="H45" s="69"/>
      <c r="I45" s="69"/>
      <c r="J45" s="69"/>
      <c r="K45" s="69"/>
      <c r="L45" s="74"/>
      <c r="M45" s="75"/>
      <c r="N45" s="69"/>
      <c r="O45" s="69"/>
    </row>
    <row r="46" spans="2:15" x14ac:dyDescent="0.15">
      <c r="B46" s="3"/>
      <c r="C46" s="10"/>
      <c r="F46" s="68">
        <v>38</v>
      </c>
      <c r="G46" s="69"/>
      <c r="H46" s="69"/>
      <c r="I46" s="69"/>
      <c r="J46" s="69"/>
      <c r="K46" s="69"/>
      <c r="L46" s="74"/>
      <c r="M46" s="74"/>
      <c r="N46" s="69"/>
      <c r="O46" s="69"/>
    </row>
    <row r="47" spans="2:15" x14ac:dyDescent="0.15">
      <c r="F47" s="68">
        <v>43</v>
      </c>
      <c r="G47" s="69"/>
      <c r="H47" s="69"/>
      <c r="I47" s="69"/>
      <c r="J47" s="69"/>
      <c r="K47" s="69"/>
      <c r="L47" s="74"/>
      <c r="M47" s="74"/>
      <c r="N47" s="69"/>
      <c r="O47" s="69"/>
    </row>
    <row r="56" spans="6:25" ht="56" x14ac:dyDescent="0.15">
      <c r="F56" s="69" t="s">
        <v>71</v>
      </c>
      <c r="G56" s="69" t="s">
        <v>72</v>
      </c>
      <c r="H56" s="69" t="s">
        <v>73</v>
      </c>
      <c r="I56" s="69"/>
      <c r="J56" s="69"/>
      <c r="K56" s="69"/>
      <c r="L56" s="111" t="s">
        <v>77</v>
      </c>
      <c r="M56" s="111" t="s">
        <v>78</v>
      </c>
      <c r="N56" s="111" t="s">
        <v>125</v>
      </c>
      <c r="O56" s="160" t="s">
        <v>126</v>
      </c>
      <c r="P56" s="55"/>
    </row>
    <row r="57" spans="6:25" x14ac:dyDescent="0.15">
      <c r="F57" s="69">
        <v>26</v>
      </c>
      <c r="G57" s="63">
        <v>1978</v>
      </c>
      <c r="H57" s="96">
        <v>500000</v>
      </c>
      <c r="I57" s="69"/>
      <c r="J57" s="69"/>
      <c r="K57" s="69"/>
      <c r="L57" s="168">
        <v>455.0549644977657</v>
      </c>
      <c r="M57" s="111">
        <f>1.2*L57</f>
        <v>546.06595739731881</v>
      </c>
      <c r="N57" s="112">
        <v>1055.95</v>
      </c>
      <c r="O57" s="168">
        <v>1575.7994832682414</v>
      </c>
      <c r="P57" s="90"/>
      <c r="Q57" s="90"/>
      <c r="S57" s="55"/>
      <c r="T57" s="55"/>
      <c r="U57" s="55"/>
      <c r="Y57" s="90"/>
    </row>
    <row r="58" spans="6:25" x14ac:dyDescent="0.15">
      <c r="F58" s="69">
        <v>27</v>
      </c>
      <c r="G58" s="69">
        <v>17167</v>
      </c>
      <c r="H58" s="96">
        <v>500000</v>
      </c>
      <c r="I58" s="69"/>
      <c r="J58" s="69"/>
      <c r="K58" s="69"/>
      <c r="L58" s="168">
        <v>482.18091778803284</v>
      </c>
      <c r="M58" s="111">
        <f t="shared" ref="M58:M76" si="30">1.2*L58</f>
        <v>578.61710134563941</v>
      </c>
      <c r="N58" s="112">
        <v>1118.54</v>
      </c>
      <c r="O58" s="168">
        <v>1691.4945409762363</v>
      </c>
      <c r="P58" s="90"/>
      <c r="Q58" s="90"/>
      <c r="T58" s="90"/>
      <c r="Y58" s="90"/>
    </row>
    <row r="59" spans="6:25" x14ac:dyDescent="0.15">
      <c r="F59" s="69">
        <v>28</v>
      </c>
      <c r="G59" s="69">
        <v>17482</v>
      </c>
      <c r="H59" s="96">
        <v>500000</v>
      </c>
      <c r="I59" s="69"/>
      <c r="J59" s="69"/>
      <c r="K59" s="69"/>
      <c r="L59" s="168">
        <v>512.7615039364415</v>
      </c>
      <c r="M59" s="111">
        <f t="shared" si="30"/>
        <v>615.31380472372973</v>
      </c>
      <c r="N59" s="112">
        <v>1189.03</v>
      </c>
      <c r="O59" s="168">
        <v>1819.9232957870629</v>
      </c>
      <c r="P59" s="90"/>
      <c r="Q59" s="90"/>
      <c r="T59" s="90"/>
      <c r="Y59" s="90"/>
    </row>
    <row r="60" spans="6:25" x14ac:dyDescent="0.15">
      <c r="F60" s="69">
        <v>29</v>
      </c>
      <c r="G60" s="69">
        <v>17457</v>
      </c>
      <c r="H60" s="96">
        <v>500000</v>
      </c>
      <c r="I60" s="69"/>
      <c r="J60" s="69"/>
      <c r="K60" s="69"/>
      <c r="L60" s="168">
        <v>547.09611948477732</v>
      </c>
      <c r="M60" s="111">
        <f t="shared" si="30"/>
        <v>656.51534338173281</v>
      </c>
      <c r="N60" s="112">
        <v>1268.0999999999999</v>
      </c>
      <c r="O60" s="168">
        <v>1961.5531555285991</v>
      </c>
      <c r="P60" s="90"/>
      <c r="Q60" s="90"/>
      <c r="T60" s="90"/>
      <c r="Y60" s="90"/>
    </row>
    <row r="61" spans="6:25" x14ac:dyDescent="0.15">
      <c r="F61" s="69">
        <v>30</v>
      </c>
      <c r="G61" s="69">
        <v>17742</v>
      </c>
      <c r="H61" s="96">
        <v>500000</v>
      </c>
      <c r="I61" s="69"/>
      <c r="J61" s="69"/>
      <c r="K61" s="69"/>
      <c r="L61" s="168">
        <v>585.48766078668734</v>
      </c>
      <c r="M61" s="111">
        <f t="shared" si="30"/>
        <v>702.58519294402481</v>
      </c>
      <c r="N61" s="112">
        <v>1356.43</v>
      </c>
      <c r="O61" s="168">
        <v>2117.7999312017128</v>
      </c>
      <c r="P61" s="90"/>
      <c r="Q61" s="90"/>
      <c r="T61" s="90"/>
      <c r="Y61" s="90"/>
    </row>
    <row r="62" spans="6:25" x14ac:dyDescent="0.15">
      <c r="F62" s="69">
        <v>31</v>
      </c>
      <c r="G62" s="69">
        <v>17935</v>
      </c>
      <c r="H62" s="96">
        <v>500000</v>
      </c>
      <c r="I62" s="69"/>
      <c r="J62" s="69"/>
      <c r="K62" s="69"/>
      <c r="L62" s="168">
        <v>627.98843278679715</v>
      </c>
      <c r="M62" s="111">
        <f t="shared" si="30"/>
        <v>753.5861193441566</v>
      </c>
      <c r="N62" s="112">
        <v>1454.11</v>
      </c>
      <c r="O62" s="168">
        <v>2297.9397065613293</v>
      </c>
      <c r="P62" s="119"/>
      <c r="Q62" s="90"/>
      <c r="T62" s="90"/>
      <c r="Y62" s="90"/>
    </row>
    <row r="63" spans="6:25" x14ac:dyDescent="0.15">
      <c r="F63" s="69">
        <v>32</v>
      </c>
      <c r="G63" s="69">
        <v>17799</v>
      </c>
      <c r="H63" s="96">
        <v>500000</v>
      </c>
      <c r="I63" s="69"/>
      <c r="J63" s="69"/>
      <c r="K63" s="69"/>
      <c r="L63" s="168">
        <v>675.07109854950761</v>
      </c>
      <c r="M63" s="111">
        <f t="shared" si="30"/>
        <v>810.08531825940906</v>
      </c>
      <c r="N63" s="112">
        <v>1562.19</v>
      </c>
      <c r="O63" s="168">
        <v>2498.828900427161</v>
      </c>
      <c r="P63" s="119"/>
      <c r="Q63" s="90"/>
      <c r="T63" s="90"/>
      <c r="Y63" s="90"/>
    </row>
    <row r="64" spans="6:25" x14ac:dyDescent="0.15">
      <c r="F64" s="69">
        <v>33</v>
      </c>
      <c r="G64" s="69">
        <v>17869</v>
      </c>
      <c r="H64" s="96">
        <v>500000</v>
      </c>
      <c r="I64" s="69"/>
      <c r="J64" s="69"/>
      <c r="K64" s="69"/>
      <c r="L64" s="168">
        <v>712.7449666007542</v>
      </c>
      <c r="M64" s="111">
        <f t="shared" si="30"/>
        <v>855.29395992090497</v>
      </c>
      <c r="N64" s="112">
        <v>1648.32</v>
      </c>
      <c r="O64" s="168">
        <v>2542.5618587645195</v>
      </c>
      <c r="P64" s="119"/>
      <c r="Q64" s="90"/>
      <c r="T64" s="90"/>
      <c r="Y64" s="90"/>
    </row>
    <row r="65" spans="6:25" x14ac:dyDescent="0.15">
      <c r="F65" s="69">
        <v>34</v>
      </c>
      <c r="G65" s="69">
        <v>18107</v>
      </c>
      <c r="H65" s="96">
        <v>500000</v>
      </c>
      <c r="I65" s="69"/>
      <c r="J65" s="69"/>
      <c r="K65" s="69"/>
      <c r="L65" s="168">
        <v>753.76325825576032</v>
      </c>
      <c r="M65" s="111">
        <f t="shared" si="30"/>
        <v>904.51590990691238</v>
      </c>
      <c r="N65" s="112">
        <v>1741.97</v>
      </c>
      <c r="O65" s="168">
        <v>2582.4283246805853</v>
      </c>
      <c r="P65" s="90"/>
      <c r="Q65" s="90"/>
      <c r="T65" s="90"/>
      <c r="Y65" s="90"/>
    </row>
    <row r="66" spans="6:25" x14ac:dyDescent="0.15">
      <c r="F66" s="69">
        <v>35</v>
      </c>
      <c r="G66" s="69">
        <v>29883</v>
      </c>
      <c r="H66" s="96">
        <v>500000</v>
      </c>
      <c r="I66" s="69"/>
      <c r="J66" s="69"/>
      <c r="K66" s="69"/>
      <c r="L66" s="168">
        <v>798.62138114999038</v>
      </c>
      <c r="M66" s="111">
        <f t="shared" si="30"/>
        <v>958.34565737998844</v>
      </c>
      <c r="N66" s="112">
        <v>1844.27</v>
      </c>
      <c r="O66" s="168">
        <v>2618.8158024100348</v>
      </c>
      <c r="P66" s="90"/>
      <c r="Q66" s="90"/>
      <c r="T66" s="90"/>
      <c r="Y66" s="90"/>
    </row>
    <row r="67" spans="6:25" x14ac:dyDescent="0.15">
      <c r="F67" s="69">
        <v>36</v>
      </c>
      <c r="G67" s="69">
        <v>30298</v>
      </c>
      <c r="H67" s="96">
        <v>500000</v>
      </c>
      <c r="I67" s="69"/>
      <c r="J67" s="69"/>
      <c r="K67" s="69"/>
      <c r="L67" s="168">
        <v>847.64989731595733</v>
      </c>
      <c r="M67" s="111">
        <f t="shared" si="30"/>
        <v>1017.1798767791488</v>
      </c>
      <c r="N67" s="112">
        <v>1955.96</v>
      </c>
      <c r="O67" s="168">
        <v>2653.103244217762</v>
      </c>
      <c r="P67" s="90"/>
      <c r="Q67" s="90"/>
      <c r="T67" s="90"/>
      <c r="Y67" s="90"/>
    </row>
    <row r="68" spans="6:25" x14ac:dyDescent="0.15">
      <c r="F68" s="69">
        <v>37</v>
      </c>
      <c r="G68" s="69">
        <v>30249</v>
      </c>
      <c r="H68" s="96">
        <v>500000</v>
      </c>
      <c r="I68" s="69"/>
      <c r="J68" s="69"/>
      <c r="K68" s="69"/>
      <c r="L68" s="168">
        <v>892.40151644734078</v>
      </c>
      <c r="M68" s="111">
        <f t="shared" si="30"/>
        <v>1070.8818197368089</v>
      </c>
      <c r="N68" s="112">
        <v>2057.56</v>
      </c>
      <c r="O68" s="168">
        <v>2582.2839965490875</v>
      </c>
      <c r="P68" s="90"/>
      <c r="Q68" s="90"/>
      <c r="T68" s="90"/>
      <c r="Y68" s="90"/>
    </row>
    <row r="69" spans="6:25" x14ac:dyDescent="0.15">
      <c r="F69" s="69">
        <v>38</v>
      </c>
      <c r="G69" s="69">
        <v>30533</v>
      </c>
      <c r="H69" s="96">
        <v>500000</v>
      </c>
      <c r="I69" s="69"/>
      <c r="J69" s="69"/>
      <c r="K69" s="69"/>
      <c r="L69" s="168">
        <v>939.682830436107</v>
      </c>
      <c r="M69" s="111">
        <f t="shared" si="30"/>
        <v>1127.6193965233283</v>
      </c>
      <c r="N69" s="112">
        <v>2164.77</v>
      </c>
      <c r="O69" s="168">
        <v>2713.6026106249074</v>
      </c>
      <c r="P69" s="90"/>
      <c r="Q69" s="90"/>
      <c r="T69" s="90"/>
      <c r="Y69" s="90"/>
    </row>
    <row r="70" spans="6:25" x14ac:dyDescent="0.15">
      <c r="F70" s="69">
        <v>39</v>
      </c>
      <c r="G70" s="69">
        <v>30404</v>
      </c>
      <c r="H70" s="96">
        <v>500000</v>
      </c>
      <c r="I70" s="69"/>
      <c r="J70" s="69"/>
      <c r="K70" s="69"/>
      <c r="L70" s="168">
        <v>989.81949971827157</v>
      </c>
      <c r="M70" s="111">
        <f t="shared" si="30"/>
        <v>1187.7833996619258</v>
      </c>
      <c r="N70" s="112">
        <v>2278.34</v>
      </c>
      <c r="O70" s="168">
        <v>2849.9290209934661</v>
      </c>
      <c r="P70" s="90"/>
      <c r="Q70" s="90"/>
      <c r="T70" s="90"/>
      <c r="Y70" s="90"/>
    </row>
    <row r="71" spans="6:25" x14ac:dyDescent="0.15">
      <c r="F71" s="69">
        <v>40</v>
      </c>
      <c r="G71" s="69">
        <v>30607</v>
      </c>
      <c r="H71" s="96">
        <v>500000</v>
      </c>
      <c r="I71" s="69"/>
      <c r="J71" s="69"/>
      <c r="K71" s="69"/>
      <c r="L71" s="168">
        <v>1043.5768741524716</v>
      </c>
      <c r="M71" s="111">
        <f t="shared" si="30"/>
        <v>1252.2922489829659</v>
      </c>
      <c r="N71" s="112">
        <v>2399.98</v>
      </c>
      <c r="O71" s="168">
        <v>2993.6286714992716</v>
      </c>
      <c r="P71" s="90"/>
      <c r="Q71" s="90"/>
      <c r="T71" s="90"/>
      <c r="Y71" s="90"/>
    </row>
    <row r="72" spans="6:25" x14ac:dyDescent="0.15">
      <c r="F72" s="69">
        <v>41</v>
      </c>
      <c r="G72" s="69">
        <v>30286</v>
      </c>
      <c r="H72" s="96">
        <v>500000</v>
      </c>
      <c r="I72" s="69"/>
      <c r="J72" s="69"/>
      <c r="K72" s="69"/>
      <c r="L72" s="168">
        <v>1100.7845803121857</v>
      </c>
      <c r="M72" s="111">
        <f t="shared" si="30"/>
        <v>1320.9414963746228</v>
      </c>
      <c r="N72" s="112">
        <v>2529.29</v>
      </c>
      <c r="O72" s="168">
        <v>3141.7789038738965</v>
      </c>
      <c r="P72" s="90"/>
      <c r="Q72" s="90"/>
      <c r="T72" s="90"/>
      <c r="Y72" s="90"/>
    </row>
    <row r="73" spans="6:25" x14ac:dyDescent="0.15">
      <c r="F73" s="69">
        <v>42</v>
      </c>
      <c r="G73" s="69">
        <v>30498</v>
      </c>
      <c r="H73" s="96">
        <v>500000</v>
      </c>
      <c r="I73" s="69"/>
      <c r="J73" s="69"/>
      <c r="K73" s="69"/>
      <c r="L73" s="168">
        <v>1161.6693223471098</v>
      </c>
      <c r="M73" s="111">
        <f t="shared" si="30"/>
        <v>1394.0031868165318</v>
      </c>
      <c r="N73" s="112">
        <v>2666.76</v>
      </c>
      <c r="O73" s="168">
        <v>3418.0620958163927</v>
      </c>
      <c r="P73" s="90"/>
      <c r="Q73" s="90"/>
      <c r="T73" s="90"/>
      <c r="Y73" s="90"/>
    </row>
    <row r="74" spans="6:25" x14ac:dyDescent="0.15">
      <c r="F74" s="69">
        <v>43</v>
      </c>
      <c r="G74" s="69">
        <v>30762</v>
      </c>
      <c r="H74" s="96">
        <v>500000</v>
      </c>
      <c r="I74" s="69"/>
      <c r="J74" s="69"/>
      <c r="K74" s="69"/>
      <c r="L74" s="168">
        <v>1226.3119882527801</v>
      </c>
      <c r="M74" s="111">
        <f t="shared" si="30"/>
        <v>1471.5743859033362</v>
      </c>
      <c r="N74" s="112">
        <v>2812.54</v>
      </c>
      <c r="O74" s="168">
        <v>3717.3982342454938</v>
      </c>
      <c r="P74" s="90"/>
      <c r="Q74" s="90"/>
      <c r="T74" s="90"/>
      <c r="Y74" s="90"/>
    </row>
    <row r="75" spans="6:25" x14ac:dyDescent="0.15">
      <c r="F75" s="69">
        <v>44</v>
      </c>
      <c r="G75" s="69">
        <v>30712</v>
      </c>
      <c r="H75" s="96">
        <v>500000</v>
      </c>
      <c r="I75" s="69"/>
      <c r="J75" s="69"/>
      <c r="K75" s="69"/>
      <c r="L75" s="168">
        <v>1294.8488881583705</v>
      </c>
      <c r="M75" s="111">
        <f t="shared" si="30"/>
        <v>1553.8186657900446</v>
      </c>
      <c r="N75" s="112">
        <v>2966.92</v>
      </c>
      <c r="O75" s="168">
        <v>4039.8004468756308</v>
      </c>
      <c r="P75" s="90"/>
      <c r="Q75" s="90"/>
      <c r="T75" s="90"/>
      <c r="Y75" s="90"/>
    </row>
    <row r="76" spans="6:25" x14ac:dyDescent="0.15">
      <c r="F76" s="106">
        <v>45</v>
      </c>
      <c r="G76" s="106">
        <v>30610</v>
      </c>
      <c r="H76" s="96">
        <v>500000</v>
      </c>
      <c r="I76" s="106"/>
      <c r="J76" s="106"/>
      <c r="K76" s="106"/>
      <c r="L76" s="169">
        <v>1367.5821647858534</v>
      </c>
      <c r="M76" s="156">
        <f t="shared" si="30"/>
        <v>1641.0985977430239</v>
      </c>
      <c r="N76" s="112">
        <v>3130.56</v>
      </c>
      <c r="O76" s="168">
        <v>4382.481929449762</v>
      </c>
      <c r="P76" s="90"/>
      <c r="Q76" s="90"/>
      <c r="T76" s="90"/>
      <c r="Y76" s="90"/>
    </row>
    <row r="77" spans="6:25" x14ac:dyDescent="0.15">
      <c r="F77" s="108"/>
      <c r="G77" s="108"/>
      <c r="H77" s="108"/>
      <c r="I77" s="108"/>
      <c r="J77" s="108"/>
      <c r="K77" s="108"/>
      <c r="L77" s="121"/>
      <c r="M77" s="108"/>
      <c r="N77" s="109"/>
      <c r="P77" s="97"/>
      <c r="Q77" s="90"/>
      <c r="T77" s="90"/>
    </row>
    <row r="78" spans="6:25" x14ac:dyDescent="0.15">
      <c r="N78" s="90"/>
      <c r="P78" s="97"/>
      <c r="Q78" s="90"/>
    </row>
    <row r="79" spans="6:25" x14ac:dyDescent="0.15">
      <c r="N79" s="90"/>
      <c r="P79" s="97"/>
      <c r="Q79" s="90"/>
    </row>
    <row r="80" spans="6:25" x14ac:dyDescent="0.15">
      <c r="N80" s="90"/>
      <c r="P80" s="97"/>
      <c r="Q80" s="90"/>
    </row>
    <row r="81" spans="14:17" x14ac:dyDescent="0.15">
      <c r="N81" s="90"/>
      <c r="P81" s="97"/>
      <c r="Q81" s="90"/>
    </row>
    <row r="82" spans="14:17" x14ac:dyDescent="0.15">
      <c r="N82" s="90"/>
      <c r="P82" s="97"/>
      <c r="Q82" s="90"/>
    </row>
    <row r="83" spans="14:17" x14ac:dyDescent="0.15">
      <c r="N83" s="90"/>
      <c r="P83" s="97"/>
      <c r="Q83" s="90"/>
    </row>
    <row r="84" spans="14:17" x14ac:dyDescent="0.15">
      <c r="N84" s="90"/>
      <c r="P84" s="97"/>
      <c r="Q84" s="90"/>
    </row>
    <row r="85" spans="14:17" x14ac:dyDescent="0.15">
      <c r="N85" s="90"/>
      <c r="P85" s="97"/>
      <c r="Q85" s="90"/>
    </row>
    <row r="86" spans="14:17" x14ac:dyDescent="0.15">
      <c r="N86" s="90"/>
      <c r="P86" s="97"/>
      <c r="Q86" s="90"/>
    </row>
    <row r="87" spans="14:17" x14ac:dyDescent="0.15">
      <c r="N87" s="90"/>
      <c r="P87" s="97"/>
      <c r="Q87" s="96"/>
    </row>
    <row r="88" spans="14:17" x14ac:dyDescent="0.15">
      <c r="N88" s="90"/>
      <c r="P88" s="97"/>
      <c r="Q88" s="96"/>
    </row>
    <row r="89" spans="14:17" x14ac:dyDescent="0.15">
      <c r="N89" s="90"/>
      <c r="P89" s="97"/>
      <c r="Q89" s="96"/>
    </row>
    <row r="90" spans="14:17" x14ac:dyDescent="0.15">
      <c r="N90" s="90"/>
      <c r="P90" s="97"/>
      <c r="Q90" s="96"/>
    </row>
    <row r="91" spans="14:17" x14ac:dyDescent="0.15">
      <c r="N91" s="90"/>
      <c r="P91" s="97"/>
      <c r="Q91" s="96"/>
    </row>
    <row r="92" spans="14:17" x14ac:dyDescent="0.15">
      <c r="N92" s="90"/>
      <c r="P92" s="97"/>
      <c r="Q92" s="96"/>
    </row>
    <row r="93" spans="14:17" x14ac:dyDescent="0.15">
      <c r="N93" s="90"/>
      <c r="P93" s="97"/>
      <c r="Q93" s="96"/>
    </row>
    <row r="94" spans="14:17" x14ac:dyDescent="0.15">
      <c r="N94" s="90"/>
      <c r="P94" s="97"/>
      <c r="Q94" s="96"/>
    </row>
    <row r="95" spans="14:17" x14ac:dyDescent="0.15">
      <c r="N95" s="90"/>
      <c r="P95" s="97"/>
      <c r="Q95" s="96"/>
    </row>
    <row r="96" spans="14:17" x14ac:dyDescent="0.15">
      <c r="N96" s="90"/>
      <c r="P96" s="97"/>
      <c r="Q96" s="96"/>
    </row>
  </sheetData>
  <mergeCells count="3">
    <mergeCell ref="AE1:AN1"/>
    <mergeCell ref="S2:X2"/>
    <mergeCell ref="Z2:AC2"/>
  </mergeCells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639A-9C88-E243-A8CF-9610AD46D208}">
  <sheetPr codeName="Sheet6"/>
  <dimension ref="A1:AW131"/>
  <sheetViews>
    <sheetView zoomScale="90" zoomScaleNormal="90" workbookViewId="0">
      <pane ySplit="4" topLeftCell="A56" activePane="bottomLeft" state="frozen"/>
      <selection pane="bottomLeft" activeCell="B22" sqref="B22"/>
    </sheetView>
  </sheetViews>
  <sheetFormatPr baseColWidth="10" defaultColWidth="10.6640625" defaultRowHeight="13" x14ac:dyDescent="0.15"/>
  <cols>
    <col min="1" max="1" width="12.6640625" customWidth="1"/>
    <col min="2" max="2" width="24.33203125" customWidth="1"/>
    <col min="3" max="3" width="16.6640625" customWidth="1"/>
    <col min="6" max="6" width="41.33203125" customWidth="1"/>
    <col min="7" max="7" width="15.5" customWidth="1"/>
    <col min="8" max="8" width="18.5" customWidth="1"/>
    <col min="11" max="11" width="17.83203125" customWidth="1"/>
    <col min="12" max="12" width="12.5" customWidth="1"/>
    <col min="13" max="13" width="20" customWidth="1"/>
    <col min="14" max="14" width="21.33203125" customWidth="1"/>
    <col min="15" max="15" width="21.83203125" customWidth="1"/>
    <col min="16" max="16" width="14.33203125" customWidth="1"/>
    <col min="17" max="17" width="13.33203125" customWidth="1"/>
    <col min="18" max="18" width="13.6640625" customWidth="1"/>
    <col min="19" max="19" width="21.1640625" customWidth="1"/>
    <col min="20" max="20" width="19.6640625" customWidth="1"/>
    <col min="21" max="21" width="19.1640625" customWidth="1"/>
    <col min="22" max="22" width="20.1640625" customWidth="1"/>
    <col min="24" max="24" width="20.33203125" customWidth="1"/>
    <col min="25" max="25" width="5.6640625" customWidth="1"/>
    <col min="26" max="29" width="10.6640625" customWidth="1"/>
    <col min="30" max="30" width="21.6640625" customWidth="1"/>
    <col min="32" max="32" width="11.33203125" customWidth="1"/>
    <col min="34" max="34" width="14.5" customWidth="1"/>
    <col min="35" max="35" width="15.5" customWidth="1"/>
    <col min="38" max="38" width="12.5" customWidth="1"/>
    <col min="39" max="39" width="12.1640625" customWidth="1"/>
    <col min="40" max="40" width="13.5" customWidth="1"/>
    <col min="42" max="42" width="16.1640625" customWidth="1"/>
    <col min="43" max="43" width="17.83203125" customWidth="1"/>
    <col min="44" max="44" width="13.33203125" style="63" customWidth="1"/>
    <col min="45" max="45" width="16.83203125" bestFit="1" customWidth="1"/>
    <col min="46" max="46" width="20.6640625" customWidth="1"/>
    <col min="49" max="49" width="9.5" bestFit="1" customWidth="1"/>
  </cols>
  <sheetData>
    <row r="1" spans="1:49" ht="16" x14ac:dyDescent="0.2">
      <c r="A1" s="42"/>
      <c r="AE1" s="202" t="s">
        <v>0</v>
      </c>
      <c r="AF1" s="203"/>
      <c r="AG1" s="203"/>
      <c r="AH1" s="203"/>
      <c r="AI1" s="203"/>
      <c r="AJ1" s="203"/>
      <c r="AK1" s="204"/>
      <c r="AL1" s="204"/>
      <c r="AM1" s="204"/>
      <c r="AN1" s="204"/>
    </row>
    <row r="2" spans="1:49" ht="15" x14ac:dyDescent="0.2">
      <c r="K2" s="29" t="s">
        <v>1</v>
      </c>
      <c r="L2" s="29"/>
      <c r="M2" s="29"/>
      <c r="N2" s="29"/>
      <c r="O2" s="29"/>
      <c r="P2" s="29"/>
      <c r="Q2" s="29"/>
      <c r="S2" s="205" t="s">
        <v>2</v>
      </c>
      <c r="T2" s="206"/>
      <c r="U2" s="206"/>
      <c r="V2" s="206"/>
      <c r="W2" s="207"/>
      <c r="X2" s="208"/>
      <c r="Z2" s="209" t="s">
        <v>3</v>
      </c>
      <c r="AA2" s="210"/>
      <c r="AB2" s="210"/>
      <c r="AC2" s="210"/>
      <c r="AE2" s="2" t="s">
        <v>4</v>
      </c>
      <c r="AF2" s="2" t="s">
        <v>5</v>
      </c>
      <c r="AG2" s="2" t="s">
        <v>6</v>
      </c>
      <c r="AH2" s="2" t="s">
        <v>7</v>
      </c>
      <c r="AI2" s="2"/>
      <c r="AJ2" s="2" t="s">
        <v>8</v>
      </c>
      <c r="AK2" s="2" t="s">
        <v>9</v>
      </c>
      <c r="AL2" s="2" t="s">
        <v>10</v>
      </c>
      <c r="AM2" s="2" t="s">
        <v>11</v>
      </c>
      <c r="AN2" s="2" t="s">
        <v>12</v>
      </c>
    </row>
    <row r="3" spans="1:49" ht="28" x14ac:dyDescent="0.15">
      <c r="G3" t="s">
        <v>13</v>
      </c>
      <c r="H3" s="69">
        <v>1559.0436999999999</v>
      </c>
      <c r="I3" s="82" t="s">
        <v>14</v>
      </c>
      <c r="J3" s="76" t="s">
        <v>15</v>
      </c>
      <c r="K3" s="2" t="s">
        <v>16</v>
      </c>
      <c r="L3" s="2" t="s">
        <v>17</v>
      </c>
      <c r="M3" s="2" t="s">
        <v>18</v>
      </c>
      <c r="N3" s="77" t="s">
        <v>19</v>
      </c>
      <c r="O3" s="77" t="s">
        <v>20</v>
      </c>
      <c r="P3" s="77" t="s">
        <v>21</v>
      </c>
      <c r="Q3" s="77" t="s">
        <v>22</v>
      </c>
      <c r="R3" s="77"/>
      <c r="S3" s="77" t="s">
        <v>23</v>
      </c>
      <c r="T3" s="77" t="s">
        <v>24</v>
      </c>
      <c r="U3" s="77" t="s">
        <v>25</v>
      </c>
      <c r="V3" s="77" t="s">
        <v>26</v>
      </c>
      <c r="W3" s="77" t="s">
        <v>27</v>
      </c>
      <c r="X3" s="77" t="s">
        <v>28</v>
      </c>
      <c r="Y3" s="77"/>
      <c r="Z3" s="77" t="s">
        <v>29</v>
      </c>
      <c r="AA3" s="77" t="s">
        <v>30</v>
      </c>
      <c r="AB3" s="77" t="s">
        <v>31</v>
      </c>
      <c r="AC3" s="77" t="s">
        <v>32</v>
      </c>
      <c r="AD3" s="77"/>
      <c r="AE3" s="78" t="s">
        <v>33</v>
      </c>
      <c r="AF3" s="78" t="s">
        <v>34</v>
      </c>
      <c r="AG3" s="78" t="s">
        <v>35</v>
      </c>
      <c r="AH3" s="78" t="s">
        <v>36</v>
      </c>
      <c r="AI3" s="78" t="s">
        <v>37</v>
      </c>
      <c r="AJ3" s="78" t="s">
        <v>38</v>
      </c>
      <c r="AK3" s="78" t="s">
        <v>39</v>
      </c>
      <c r="AL3" s="78" t="s">
        <v>40</v>
      </c>
      <c r="AM3" s="78" t="s">
        <v>41</v>
      </c>
      <c r="AN3" s="78" t="s">
        <v>42</v>
      </c>
      <c r="AO3" s="7" t="s">
        <v>43</v>
      </c>
      <c r="AP3" s="2"/>
      <c r="AQ3" s="76" t="s">
        <v>127</v>
      </c>
      <c r="AS3" s="55"/>
    </row>
    <row r="4" spans="1:49" x14ac:dyDescent="0.15">
      <c r="A4" s="83" t="s">
        <v>44</v>
      </c>
      <c r="B4" s="19"/>
      <c r="C4" s="19"/>
      <c r="D4" s="19"/>
      <c r="E4" s="69">
        <v>45</v>
      </c>
      <c r="H4" s="2"/>
      <c r="I4" s="2"/>
      <c r="J4" s="2">
        <v>0</v>
      </c>
      <c r="K4" s="13">
        <f>$H$3</f>
        <v>1559.0436999999999</v>
      </c>
      <c r="L4" s="13">
        <f>K4*C16</f>
        <v>445.26288071999994</v>
      </c>
      <c r="M4" s="26">
        <f>100+10%*K4+B31*B33</f>
        <v>285.90436999999997</v>
      </c>
      <c r="N4" s="13">
        <f>$E$11</f>
        <v>500000</v>
      </c>
      <c r="O4" s="50">
        <v>0.8</v>
      </c>
      <c r="P4" s="6">
        <f>N4*O4/1000</f>
        <v>400</v>
      </c>
      <c r="Q4" s="39">
        <f>$H$14*N4/1000</f>
        <v>5</v>
      </c>
      <c r="U4" s="38">
        <v>1</v>
      </c>
      <c r="V4" s="36"/>
      <c r="W4" s="36"/>
      <c r="X4" s="36">
        <f>U4-SUM(V4:W4)</f>
        <v>1</v>
      </c>
      <c r="Y4" s="36"/>
      <c r="Z4" s="6"/>
      <c r="AA4" s="6"/>
      <c r="AB4" s="6">
        <f>P4*X4</f>
        <v>400</v>
      </c>
      <c r="AC4" s="6">
        <f>Q4*X4</f>
        <v>5</v>
      </c>
      <c r="AD4" s="36"/>
      <c r="AE4" s="6">
        <f>$X4*K4</f>
        <v>1559.0436999999999</v>
      </c>
      <c r="AF4" s="6">
        <f>-$X4*L4</f>
        <v>-445.26288071999994</v>
      </c>
      <c r="AG4" s="6">
        <f>-$X4*M4</f>
        <v>-285.90436999999997</v>
      </c>
      <c r="AH4" s="6"/>
      <c r="AI4" s="6">
        <f>SUM(AE4:AH4)</f>
        <v>827.87644928000009</v>
      </c>
      <c r="AJ4" s="6">
        <f>Z4-AB4</f>
        <v>-400</v>
      </c>
      <c r="AK4" s="6"/>
      <c r="AL4" s="6">
        <f>SUM(AI4:AK4)</f>
        <v>427.87644928000009</v>
      </c>
      <c r="AM4" s="6">
        <f>AA4-AC4</f>
        <v>-5</v>
      </c>
      <c r="AN4" s="6">
        <f>AL4+AM4</f>
        <v>422.87644928000009</v>
      </c>
      <c r="AP4" s="41">
        <f>AL31</f>
        <v>3358.7407008859914</v>
      </c>
      <c r="AQ4" s="95">
        <f>NPV(5.5%,AL5:AL19)+AL4</f>
        <v>4448.4330151515569</v>
      </c>
      <c r="AR4" s="128" t="s">
        <v>45</v>
      </c>
      <c r="AS4" s="23"/>
      <c r="AT4" s="32"/>
      <c r="AU4" s="32"/>
      <c r="AV4" s="23"/>
    </row>
    <row r="5" spans="1:49" x14ac:dyDescent="0.15">
      <c r="H5" s="28"/>
      <c r="I5" s="14">
        <f>$E$4+J5-1</f>
        <v>45</v>
      </c>
      <c r="J5" s="3">
        <f>J4+1</f>
        <v>1</v>
      </c>
      <c r="K5" s="13">
        <f>$H$3</f>
        <v>1559.0436999999999</v>
      </c>
      <c r="L5" s="13">
        <v>8</v>
      </c>
      <c r="M5" s="26">
        <v>50</v>
      </c>
      <c r="N5" s="13">
        <f t="shared" ref="N5:N24" si="0">$E$11</f>
        <v>500000</v>
      </c>
      <c r="O5" s="30">
        <v>0.3</v>
      </c>
      <c r="P5" s="39">
        <f t="shared" ref="P5:P24" si="1">N5*O5/1000</f>
        <v>150</v>
      </c>
      <c r="Q5" s="39">
        <f t="shared" ref="Q5:Q24" si="2">$H$14*N5/1000</f>
        <v>5</v>
      </c>
      <c r="R5" s="30"/>
      <c r="S5" s="43">
        <f>VLOOKUP(I5,'Mortality Table Latest'!$A$3:$E$123,4,FALSE)*1000*(1-$B$32)</f>
        <v>1.5897600000000001</v>
      </c>
      <c r="T5" s="49">
        <v>6.1170142103574403E-3</v>
      </c>
      <c r="U5" s="37">
        <f>X4</f>
        <v>1</v>
      </c>
      <c r="V5" s="37">
        <f>U5*S5/1000</f>
        <v>1.58976E-3</v>
      </c>
      <c r="W5" s="37">
        <f>MIN(T5*U5,U5-V5)</f>
        <v>6.1170142103574403E-3</v>
      </c>
      <c r="X5" s="36">
        <f>U5-SUM(V5:W5)</f>
        <v>0.99229322578964252</v>
      </c>
      <c r="Y5" s="36"/>
      <c r="Z5" s="6">
        <f>AB4</f>
        <v>400</v>
      </c>
      <c r="AA5" s="6">
        <f>AC4</f>
        <v>5</v>
      </c>
      <c r="AB5" s="6">
        <f t="shared" ref="AB5:AB24" si="3">P5*X5</f>
        <v>148.84398386844637</v>
      </c>
      <c r="AC5" s="6">
        <f t="shared" ref="AC5:AC24" si="4">Q5*X5</f>
        <v>4.9614661289482127</v>
      </c>
      <c r="AD5" s="36"/>
      <c r="AE5" s="6">
        <f t="shared" ref="AE5:AE24" si="5">$X5*K5</f>
        <v>1547.0285022200196</v>
      </c>
      <c r="AF5" s="6">
        <f t="shared" ref="AF5:AG20" si="6">-$X5*L5</f>
        <v>-7.9383458063171402</v>
      </c>
      <c r="AG5" s="6">
        <f t="shared" si="6"/>
        <v>-49.614661289482129</v>
      </c>
      <c r="AH5" s="6">
        <f>-V5*N5</f>
        <v>-794.88</v>
      </c>
      <c r="AI5" s="6">
        <f>SUM(AE5:AH5)</f>
        <v>694.59549512422029</v>
      </c>
      <c r="AJ5" s="6">
        <f>-N5*$X4*(O5-O4)/1000</f>
        <v>250</v>
      </c>
      <c r="AK5" s="6">
        <f>$D$6*SUM(Z5:AA5,AE5:AF5)</f>
        <v>57.739477645486964</v>
      </c>
      <c r="AL5" s="6">
        <f t="shared" ref="AL5:AL14" si="7">SUM(AI5:AK5)</f>
        <v>1002.3349727697073</v>
      </c>
      <c r="AM5" s="6">
        <f t="shared" ref="AM5:AM24" si="8">AA5-AC5</f>
        <v>3.8533871051787294E-2</v>
      </c>
      <c r="AN5" s="6">
        <f t="shared" ref="AN5:AN24" si="9">AL5+AM5</f>
        <v>1002.373506640759</v>
      </c>
      <c r="AO5" t="s">
        <v>46</v>
      </c>
      <c r="AP5" s="28"/>
      <c r="AR5" s="126">
        <v>2023</v>
      </c>
      <c r="AS5" s="23">
        <f>AH5</f>
        <v>-794.88</v>
      </c>
      <c r="AT5" s="32">
        <f>INDEX('20 Year NonSmoker Mortality Exp'!$A$25:$U$45,MATCH('20 Year Non-Smoker W Inter'!AR5,'20 Year NonSmoker Mortality Exp'!$A$25:$A$45,0),MATCH('20 Year Non-Smoker W Inter'!$E$4,'20 Year NonSmoker Mortality Exp'!$A$25:$U$25,0))</f>
        <v>192</v>
      </c>
      <c r="AU5" s="32"/>
      <c r="AV5" s="23"/>
    </row>
    <row r="6" spans="1:49" x14ac:dyDescent="0.15">
      <c r="A6" s="15" t="s">
        <v>47</v>
      </c>
      <c r="B6" s="15"/>
      <c r="C6" s="15"/>
      <c r="D6" s="110">
        <v>2.9700000000000001E-2</v>
      </c>
      <c r="E6" s="8"/>
      <c r="F6" s="8"/>
      <c r="G6" s="8"/>
      <c r="H6" s="2"/>
      <c r="I6" s="14">
        <f t="shared" ref="I6:I24" si="10">$E$4+J6-1</f>
        <v>46</v>
      </c>
      <c r="J6" s="3">
        <f t="shared" ref="J6:J24" si="11">J5+1</f>
        <v>2</v>
      </c>
      <c r="K6" s="13">
        <f t="shared" ref="K6:K24" si="12">$H$3</f>
        <v>1559.0436999999999</v>
      </c>
      <c r="L6" s="13">
        <f>K6*$C$17</f>
        <v>63.608982960000006</v>
      </c>
      <c r="M6" s="26">
        <v>50</v>
      </c>
      <c r="N6" s="13">
        <f t="shared" si="0"/>
        <v>500000</v>
      </c>
      <c r="O6" s="30">
        <v>0.4</v>
      </c>
      <c r="P6" s="39">
        <f t="shared" si="1"/>
        <v>200</v>
      </c>
      <c r="Q6" s="39">
        <f t="shared" si="2"/>
        <v>5</v>
      </c>
      <c r="R6" s="30"/>
      <c r="S6" s="43">
        <f>VLOOKUP(I6,'Mortality Table Latest'!$A$3:$E$123,4,FALSE)*1000*(1-$B$32)</f>
        <v>1.7250000000000001</v>
      </c>
      <c r="T6" s="33">
        <v>6.1682099946429939E-3</v>
      </c>
      <c r="U6" s="37">
        <f>X5</f>
        <v>0.99229322578964252</v>
      </c>
      <c r="V6" s="37">
        <f t="shared" ref="V6:V24" si="13">U6*S6/1000</f>
        <v>1.7117058144871333E-3</v>
      </c>
      <c r="W6" s="37">
        <f t="shared" ref="W6:W24" si="14">MIN(T6*U6,U6-V6)</f>
        <v>6.1206729929322102E-3</v>
      </c>
      <c r="X6" s="36">
        <f>U6-SUM(V6:W6)</f>
        <v>0.98446084698222314</v>
      </c>
      <c r="Y6" s="36"/>
      <c r="Z6" s="6">
        <f t="shared" ref="Z6:AA21" si="15">AB5</f>
        <v>148.84398386844637</v>
      </c>
      <c r="AA6" s="6">
        <f t="shared" si="15"/>
        <v>4.9614661289482127</v>
      </c>
      <c r="AB6" s="6">
        <f t="shared" si="3"/>
        <v>196.89216939644461</v>
      </c>
      <c r="AC6" s="6">
        <f t="shared" si="4"/>
        <v>4.9223042349111159</v>
      </c>
      <c r="AD6" s="36"/>
      <c r="AE6" s="6">
        <f>$X6*K6</f>
        <v>1534.8174813842988</v>
      </c>
      <c r="AF6" s="6">
        <f t="shared" si="6"/>
        <v>-62.620553240479403</v>
      </c>
      <c r="AG6" s="6">
        <f t="shared" si="6"/>
        <v>-49.223042349111154</v>
      </c>
      <c r="AH6" s="6">
        <f t="shared" ref="AH6:AH23" si="16">-V6*N6</f>
        <v>-855.85290724356662</v>
      </c>
      <c r="AI6" s="6">
        <f t="shared" ref="AI6:AI13" si="17">SUM(AE6:AH6)</f>
        <v>567.12097855114155</v>
      </c>
      <c r="AJ6" s="6">
        <f>-N6*($X5*O6-$X4*O5)/1000</f>
        <v>-48.45864515792853</v>
      </c>
      <c r="AK6" s="6">
        <f t="shared" ref="AK6:AK24" si="18">$D$6*SUM(Z6:AA6,AE6:AF6)</f>
        <v>48.292270630794057</v>
      </c>
      <c r="AL6" s="6">
        <f t="shared" si="7"/>
        <v>566.95460402400704</v>
      </c>
      <c r="AM6" s="6">
        <f t="shared" si="8"/>
        <v>3.9161894037096801E-2</v>
      </c>
      <c r="AN6" s="6">
        <f t="shared" si="9"/>
        <v>566.99376591804412</v>
      </c>
      <c r="AP6" s="41">
        <f>AN31</f>
        <v>3355.0657960687963</v>
      </c>
      <c r="AR6" s="126">
        <f>AR5-1</f>
        <v>2022</v>
      </c>
      <c r="AS6" s="23">
        <f>SUM($AH$5:AH6)</f>
        <v>-1650.7329072435666</v>
      </c>
      <c r="AT6" s="32">
        <f>INDEX('20 Year NonSmoker Mortality Exp'!$A$25:$U$45,MATCH('20 Year Non-Smoker W Inter'!AR6,'20 Year NonSmoker Mortality Exp'!$A$25:$A$45,0),MATCH('20 Year Non-Smoker W Inter'!$E$4,'20 Year NonSmoker Mortality Exp'!$A$25:$U$25,0))</f>
        <v>185</v>
      </c>
      <c r="AU6" s="32"/>
      <c r="AV6" s="23"/>
    </row>
    <row r="7" spans="1:49" x14ac:dyDescent="0.15">
      <c r="A7" s="19" t="s">
        <v>48</v>
      </c>
      <c r="B7" s="19"/>
      <c r="C7" s="79"/>
      <c r="D7" s="11">
        <v>5.5E-2</v>
      </c>
      <c r="E7" s="8"/>
      <c r="F7" s="8"/>
      <c r="G7" s="8"/>
      <c r="H7" s="47"/>
      <c r="I7" s="14">
        <f t="shared" si="10"/>
        <v>47</v>
      </c>
      <c r="J7" s="3">
        <f t="shared" si="11"/>
        <v>3</v>
      </c>
      <c r="K7" s="13">
        <f t="shared" si="12"/>
        <v>1559.0436999999999</v>
      </c>
      <c r="L7" s="13">
        <f t="shared" ref="L7:L24" si="19">K7*$C$17</f>
        <v>63.608982960000006</v>
      </c>
      <c r="M7" s="26">
        <v>50</v>
      </c>
      <c r="N7" s="13">
        <f t="shared" si="0"/>
        <v>500000</v>
      </c>
      <c r="O7" s="30">
        <v>0.4</v>
      </c>
      <c r="P7" s="39">
        <f t="shared" si="1"/>
        <v>200</v>
      </c>
      <c r="Q7" s="39">
        <f t="shared" si="2"/>
        <v>5</v>
      </c>
      <c r="R7" s="30"/>
      <c r="S7" s="43">
        <f>VLOOKUP(I7,'Mortality Table Latest'!$A$3:$E$123,4,FALSE)*1000*(1-$B$32)</f>
        <v>1.8915200000000001</v>
      </c>
      <c r="T7" s="33">
        <v>6.1844770561514965E-3</v>
      </c>
      <c r="U7" s="37">
        <f t="shared" ref="U7:U24" si="20">X6</f>
        <v>0.98446084698222314</v>
      </c>
      <c r="V7" s="37">
        <f t="shared" si="13"/>
        <v>1.8621273812838147E-3</v>
      </c>
      <c r="W7" s="37">
        <f t="shared" si="14"/>
        <v>6.0883755208410283E-3</v>
      </c>
      <c r="X7" s="36">
        <f t="shared" ref="X7:X24" si="21">U7-SUM(V7:W7)</f>
        <v>0.97651034408009829</v>
      </c>
      <c r="Y7" s="36"/>
      <c r="Z7" s="6">
        <f t="shared" si="15"/>
        <v>196.89216939644461</v>
      </c>
      <c r="AA7" s="6">
        <f t="shared" si="15"/>
        <v>4.9223042349111159</v>
      </c>
      <c r="AB7" s="6">
        <f t="shared" si="3"/>
        <v>195.30206881601967</v>
      </c>
      <c r="AC7" s="6">
        <f t="shared" si="4"/>
        <v>4.8825517204004916</v>
      </c>
      <c r="AD7" s="36"/>
      <c r="AE7" s="6">
        <f>$X7*K7</f>
        <v>1522.4222999229096</v>
      </c>
      <c r="AF7" s="6">
        <f t="shared" si="6"/>
        <v>-62.114829836854717</v>
      </c>
      <c r="AG7" s="6">
        <f t="shared" si="6"/>
        <v>-48.825517204004917</v>
      </c>
      <c r="AH7" s="6">
        <f t="shared" si="16"/>
        <v>-931.06369064190733</v>
      </c>
      <c r="AI7" s="6">
        <f t="shared" si="17"/>
        <v>480.41826224014255</v>
      </c>
      <c r="AJ7" s="6">
        <f t="shared" ref="AJ7:AJ24" si="22">-N7*($X6*O7-$X5*O6)/1000</f>
        <v>1.5664757614838876</v>
      </c>
      <c r="AK7" s="6">
        <f t="shared" si="18"/>
        <v>49.365021728407093</v>
      </c>
      <c r="AL7" s="6">
        <f t="shared" si="7"/>
        <v>531.3497597300335</v>
      </c>
      <c r="AM7" s="6">
        <f t="shared" si="8"/>
        <v>3.9752514510624337E-2</v>
      </c>
      <c r="AN7" s="6">
        <f t="shared" si="9"/>
        <v>531.38951224454411</v>
      </c>
      <c r="AR7" s="126">
        <f t="shared" ref="AR7:AR22" si="23">AR6-1</f>
        <v>2021</v>
      </c>
      <c r="AS7" s="23">
        <f>SUM($AH$5:AH7)</f>
        <v>-2581.7965978854741</v>
      </c>
      <c r="AT7" s="32">
        <f>INDEX('20 Year NonSmoker Mortality Exp'!$A$25:$U$45,MATCH('20 Year Non-Smoker W Inter'!AR7,'20 Year NonSmoker Mortality Exp'!$A$25:$A$45,0),MATCH('20 Year Non-Smoker W Inter'!$E$4,'20 Year NonSmoker Mortality Exp'!$A$25:$U$25,0))</f>
        <v>185</v>
      </c>
      <c r="AU7" s="32"/>
      <c r="AV7" s="23"/>
    </row>
    <row r="8" spans="1:49" x14ac:dyDescent="0.15">
      <c r="A8" s="15" t="s">
        <v>49</v>
      </c>
      <c r="B8" s="15"/>
      <c r="C8" s="16"/>
      <c r="D8" s="2"/>
      <c r="E8" s="2"/>
      <c r="F8" s="2"/>
      <c r="G8" s="2"/>
      <c r="H8" s="2"/>
      <c r="I8" s="14">
        <f t="shared" si="10"/>
        <v>48</v>
      </c>
      <c r="J8" s="3">
        <f t="shared" si="11"/>
        <v>4</v>
      </c>
      <c r="K8" s="13">
        <f t="shared" si="12"/>
        <v>1559.0436999999999</v>
      </c>
      <c r="L8" s="13">
        <f>K8*$C$17</f>
        <v>63.608982960000006</v>
      </c>
      <c r="M8" s="26">
        <v>50</v>
      </c>
      <c r="N8" s="13">
        <f t="shared" si="0"/>
        <v>500000</v>
      </c>
      <c r="O8" s="30">
        <v>0.4</v>
      </c>
      <c r="P8" s="39">
        <f t="shared" si="1"/>
        <v>200</v>
      </c>
      <c r="Q8" s="39">
        <f t="shared" si="2"/>
        <v>5</v>
      </c>
      <c r="R8" s="30"/>
      <c r="S8" s="43">
        <f>VLOOKUP(I8,'Mortality Table Latest'!$A$3:$E$123,4,FALSE)*1000*(1-$B$32)</f>
        <v>2.06724</v>
      </c>
      <c r="T8" s="33">
        <v>6.2413279786892577E-3</v>
      </c>
      <c r="U8" s="37">
        <f t="shared" si="20"/>
        <v>0.97651034408009829</v>
      </c>
      <c r="V8" s="37">
        <f t="shared" si="13"/>
        <v>2.0186812436961423E-3</v>
      </c>
      <c r="W8" s="37">
        <f t="shared" si="14"/>
        <v>6.0947213319865919E-3</v>
      </c>
      <c r="X8" s="36">
        <f t="shared" si="21"/>
        <v>0.96839694150441558</v>
      </c>
      <c r="Y8" s="36"/>
      <c r="Z8" s="6">
        <f t="shared" si="15"/>
        <v>195.30206881601967</v>
      </c>
      <c r="AA8" s="6">
        <f t="shared" si="15"/>
        <v>4.8825517204004916</v>
      </c>
      <c r="AB8" s="6">
        <f t="shared" si="3"/>
        <v>193.67938830088312</v>
      </c>
      <c r="AC8" s="6">
        <f t="shared" si="4"/>
        <v>4.8419847075220783</v>
      </c>
      <c r="AD8" s="36"/>
      <c r="AE8" s="6">
        <f>$X8*K8</f>
        <v>1509.7731507517276</v>
      </c>
      <c r="AF8" s="6">
        <f t="shared" si="6"/>
        <v>-61.598744550670496</v>
      </c>
      <c r="AG8" s="6">
        <f t="shared" si="6"/>
        <v>-48.41984707522078</v>
      </c>
      <c r="AH8" s="6">
        <f t="shared" si="16"/>
        <v>-1009.3406218480711</v>
      </c>
      <c r="AI8" s="6">
        <f t="shared" si="17"/>
        <v>390.41393727776517</v>
      </c>
      <c r="AJ8" s="6">
        <f t="shared" si="22"/>
        <v>1.590100580424969</v>
      </c>
      <c r="AK8" s="6">
        <f t="shared" si="18"/>
        <v>48.956263094103079</v>
      </c>
      <c r="AL8" s="6">
        <f t="shared" si="7"/>
        <v>440.96030095229321</v>
      </c>
      <c r="AM8" s="6">
        <f t="shared" si="8"/>
        <v>4.0567012878413244E-2</v>
      </c>
      <c r="AN8" s="6">
        <f t="shared" si="9"/>
        <v>441.00086796517161</v>
      </c>
      <c r="AR8" s="126">
        <f t="shared" si="23"/>
        <v>2020</v>
      </c>
      <c r="AS8" s="23">
        <f>SUM($AH$5:AH8)</f>
        <v>-3591.137219733545</v>
      </c>
      <c r="AT8" s="32">
        <f>INDEX('20 Year NonSmoker Mortality Exp'!$A$25:$U$45,MATCH('20 Year Non-Smoker W Inter'!AR8,'20 Year NonSmoker Mortality Exp'!$A$25:$A$45,0),MATCH('20 Year Non-Smoker W Inter'!$E$4,'20 Year NonSmoker Mortality Exp'!$A$25:$U$25,0))</f>
        <v>213</v>
      </c>
      <c r="AU8" s="32"/>
      <c r="AV8" s="23"/>
    </row>
    <row r="9" spans="1:49" x14ac:dyDescent="0.15">
      <c r="A9" s="15"/>
      <c r="B9" s="16" t="s">
        <v>50</v>
      </c>
      <c r="C9" s="16" t="s">
        <v>51</v>
      </c>
      <c r="D9" s="2"/>
      <c r="E9" s="2"/>
      <c r="F9" s="2"/>
      <c r="G9" s="2"/>
      <c r="H9" s="2"/>
      <c r="I9" s="14">
        <f t="shared" si="10"/>
        <v>49</v>
      </c>
      <c r="J9" s="3">
        <f t="shared" si="11"/>
        <v>5</v>
      </c>
      <c r="K9" s="13">
        <f t="shared" si="12"/>
        <v>1559.0436999999999</v>
      </c>
      <c r="L9" s="13">
        <f t="shared" si="19"/>
        <v>63.608982960000006</v>
      </c>
      <c r="M9" s="26">
        <v>50</v>
      </c>
      <c r="N9" s="13">
        <f>$E$11</f>
        <v>500000</v>
      </c>
      <c r="O9" s="30">
        <v>0.4</v>
      </c>
      <c r="P9" s="39">
        <f t="shared" si="1"/>
        <v>200</v>
      </c>
      <c r="Q9" s="39">
        <f t="shared" si="2"/>
        <v>5</v>
      </c>
      <c r="R9" s="30"/>
      <c r="S9" s="43">
        <f>VLOOKUP(I9,'Mortality Table Latest'!$A$3:$E$123,4,FALSE)*1000*(1-$B$32)</f>
        <v>2.26044</v>
      </c>
      <c r="T9" s="33">
        <v>6.1437361948170907E-3</v>
      </c>
      <c r="U9" s="37">
        <f t="shared" si="20"/>
        <v>0.96839694150441558</v>
      </c>
      <c r="V9" s="37">
        <f t="shared" si="13"/>
        <v>2.1890031824542411E-3</v>
      </c>
      <c r="W9" s="37">
        <f t="shared" si="14"/>
        <v>5.9495753404708472E-3</v>
      </c>
      <c r="X9" s="36">
        <f t="shared" si="21"/>
        <v>0.96025836298149048</v>
      </c>
      <c r="Y9" s="36"/>
      <c r="Z9" s="6">
        <f t="shared" si="15"/>
        <v>193.67938830088312</v>
      </c>
      <c r="AA9" s="6">
        <f t="shared" si="15"/>
        <v>4.8419847075220783</v>
      </c>
      <c r="AB9" s="6">
        <f t="shared" si="3"/>
        <v>192.05167259629809</v>
      </c>
      <c r="AC9" s="6">
        <f t="shared" si="4"/>
        <v>4.8012918149074526</v>
      </c>
      <c r="AD9" s="36"/>
      <c r="AE9" s="6">
        <f>$X9*K9</f>
        <v>1497.084751178606</v>
      </c>
      <c r="AF9" s="6">
        <f t="shared" si="6"/>
        <v>-61.081057848087127</v>
      </c>
      <c r="AG9" s="6">
        <f t="shared" si="6"/>
        <v>-48.012918149074522</v>
      </c>
      <c r="AH9" s="6">
        <f t="shared" si="16"/>
        <v>-1094.5015912271206</v>
      </c>
      <c r="AI9" s="6">
        <f t="shared" si="17"/>
        <v>293.48918395432383</v>
      </c>
      <c r="AJ9" s="6">
        <f t="shared" si="22"/>
        <v>1.622680515136532</v>
      </c>
      <c r="AK9" s="6">
        <f t="shared" si="18"/>
        <v>48.545394470266046</v>
      </c>
      <c r="AL9" s="6">
        <f t="shared" si="7"/>
        <v>343.65725893972643</v>
      </c>
      <c r="AM9" s="6">
        <f t="shared" si="8"/>
        <v>4.069289261462572E-2</v>
      </c>
      <c r="AN9" s="6">
        <f t="shared" si="9"/>
        <v>343.69795183234106</v>
      </c>
      <c r="AR9" s="126">
        <f t="shared" si="23"/>
        <v>2019</v>
      </c>
      <c r="AS9" s="23">
        <f>SUM($AH$5:AH9)</f>
        <v>-4685.6388109606651</v>
      </c>
      <c r="AT9" s="32">
        <f>INDEX('20 Year NonSmoker Mortality Exp'!$A$25:$U$45,MATCH('20 Year Non-Smoker W Inter'!AR9,'20 Year NonSmoker Mortality Exp'!$A$25:$A$45,0),MATCH('20 Year Non-Smoker W Inter'!$E$4,'20 Year NonSmoker Mortality Exp'!$A$25:$U$25,0))</f>
        <v>189</v>
      </c>
      <c r="AU9" s="32"/>
      <c r="AV9" s="23"/>
    </row>
    <row r="10" spans="1:49" x14ac:dyDescent="0.15">
      <c r="A10" s="15"/>
      <c r="B10" s="16">
        <v>1</v>
      </c>
      <c r="C10" s="80">
        <v>7.0000000000000007E-2</v>
      </c>
      <c r="D10" s="2"/>
      <c r="E10" s="53" t="s">
        <v>52</v>
      </c>
      <c r="F10" s="20"/>
      <c r="G10" s="2"/>
      <c r="H10" s="2"/>
      <c r="I10" s="14">
        <f t="shared" si="10"/>
        <v>50</v>
      </c>
      <c r="J10" s="3">
        <f t="shared" si="11"/>
        <v>6</v>
      </c>
      <c r="K10" s="13">
        <f t="shared" si="12"/>
        <v>1559.0436999999999</v>
      </c>
      <c r="L10" s="13">
        <f t="shared" si="19"/>
        <v>63.608982960000006</v>
      </c>
      <c r="M10" s="26">
        <v>50</v>
      </c>
      <c r="N10" s="13">
        <f t="shared" si="0"/>
        <v>500000</v>
      </c>
      <c r="O10" s="30">
        <v>0.4</v>
      </c>
      <c r="P10" s="39">
        <f t="shared" si="1"/>
        <v>200</v>
      </c>
      <c r="Q10" s="39">
        <f t="shared" si="2"/>
        <v>5</v>
      </c>
      <c r="R10" s="30"/>
      <c r="S10" s="43">
        <f>VLOOKUP(I10,'Mortality Table Latest'!$A$3:$E$123,4,FALSE)*1000*(1-$B$32)</f>
        <v>2.4674399999999999</v>
      </c>
      <c r="T10" s="33">
        <v>6.0950583441932923E-3</v>
      </c>
      <c r="U10" s="37">
        <f t="shared" si="20"/>
        <v>0.96025836298149048</v>
      </c>
      <c r="V10" s="37">
        <f t="shared" si="13"/>
        <v>2.3693798951550486E-3</v>
      </c>
      <c r="W10" s="37">
        <f t="shared" si="14"/>
        <v>5.8528307478717245E-3</v>
      </c>
      <c r="X10" s="36">
        <f t="shared" si="21"/>
        <v>0.95203615233846373</v>
      </c>
      <c r="Y10" s="36"/>
      <c r="Z10" s="6">
        <f t="shared" si="15"/>
        <v>192.05167259629809</v>
      </c>
      <c r="AA10" s="6">
        <f t="shared" si="15"/>
        <v>4.8012918149074526</v>
      </c>
      <c r="AB10" s="6">
        <f t="shared" si="3"/>
        <v>190.40723046769276</v>
      </c>
      <c r="AC10" s="6">
        <f t="shared" si="4"/>
        <v>4.7601807616923182</v>
      </c>
      <c r="AD10" s="36"/>
      <c r="AE10" s="6">
        <f t="shared" si="5"/>
        <v>1484.2659654755221</v>
      </c>
      <c r="AF10" s="6">
        <f t="shared" si="6"/>
        <v>-60.558051391401307</v>
      </c>
      <c r="AG10" s="6">
        <f t="shared" si="6"/>
        <v>-47.601807616923189</v>
      </c>
      <c r="AH10" s="6">
        <f t="shared" si="16"/>
        <v>-1184.6899475775242</v>
      </c>
      <c r="AI10" s="6">
        <f t="shared" si="17"/>
        <v>191.4161588896734</v>
      </c>
      <c r="AJ10" s="6">
        <f t="shared" si="22"/>
        <v>1.627715704585031</v>
      </c>
      <c r="AK10" s="6">
        <f t="shared" si="18"/>
        <v>48.13065809131119</v>
      </c>
      <c r="AL10" s="6">
        <f t="shared" si="7"/>
        <v>241.1745326855696</v>
      </c>
      <c r="AM10" s="6">
        <f t="shared" si="8"/>
        <v>4.1111053215134419E-2</v>
      </c>
      <c r="AN10" s="6">
        <f t="shared" si="9"/>
        <v>241.21564373878473</v>
      </c>
      <c r="AR10" s="126">
        <f t="shared" si="23"/>
        <v>2018</v>
      </c>
      <c r="AS10" s="23">
        <f>SUM($AH$5:AH10)</f>
        <v>-5870.3287585381895</v>
      </c>
      <c r="AT10" s="32">
        <f>INDEX('20 Year NonSmoker Mortality Exp'!$A$25:$U$45,MATCH('20 Year Non-Smoker W Inter'!AR10,'20 Year NonSmoker Mortality Exp'!$A$25:$A$45,0),MATCH('20 Year Non-Smoker W Inter'!$E$4,'20 Year NonSmoker Mortality Exp'!$A$25:$U$25,0))</f>
        <v>186</v>
      </c>
      <c r="AU10" s="32"/>
      <c r="AV10" s="23"/>
    </row>
    <row r="11" spans="1:49" x14ac:dyDescent="0.15">
      <c r="A11" s="15"/>
      <c r="B11" s="17" t="s">
        <v>53</v>
      </c>
      <c r="C11" s="80">
        <v>0.06</v>
      </c>
      <c r="D11" s="2"/>
      <c r="E11" s="69">
        <f>VLOOKUP(E4,F56:K96,3,FALSE)</f>
        <v>500000</v>
      </c>
      <c r="F11" s="20"/>
      <c r="G11" s="2"/>
      <c r="H11" s="2"/>
      <c r="I11" s="14">
        <f t="shared" si="10"/>
        <v>51</v>
      </c>
      <c r="J11" s="3">
        <f t="shared" si="11"/>
        <v>7</v>
      </c>
      <c r="K11" s="13">
        <f t="shared" si="12"/>
        <v>1559.0436999999999</v>
      </c>
      <c r="L11" s="13">
        <f t="shared" si="19"/>
        <v>63.608982960000006</v>
      </c>
      <c r="M11" s="26">
        <v>50</v>
      </c>
      <c r="N11" s="13">
        <f t="shared" si="0"/>
        <v>500000</v>
      </c>
      <c r="O11" s="30">
        <v>0.3</v>
      </c>
      <c r="P11" s="39">
        <f t="shared" si="1"/>
        <v>150</v>
      </c>
      <c r="Q11" s="39">
        <f t="shared" si="2"/>
        <v>5</v>
      </c>
      <c r="R11" s="30"/>
      <c r="S11" s="43">
        <f>VLOOKUP(I11,'Mortality Table Latest'!$A$3:$E$123,4,FALSE)*1000*(1-$B$32)</f>
        <v>2.7057199999999999</v>
      </c>
      <c r="T11" s="33">
        <v>6.4144141795058167E-3</v>
      </c>
      <c r="U11" s="37">
        <f t="shared" si="20"/>
        <v>0.95203615233846373</v>
      </c>
      <c r="V11" s="37">
        <f t="shared" si="13"/>
        <v>2.575943258105228E-3</v>
      </c>
      <c r="W11" s="37">
        <f t="shared" si="14"/>
        <v>6.1067541949620012E-3</v>
      </c>
      <c r="X11" s="36">
        <f t="shared" si="21"/>
        <v>0.94335345488539646</v>
      </c>
      <c r="Y11" s="36"/>
      <c r="Z11" s="6">
        <f t="shared" si="15"/>
        <v>190.40723046769276</v>
      </c>
      <c r="AA11" s="6">
        <f t="shared" si="15"/>
        <v>4.7601807616923182</v>
      </c>
      <c r="AB11" s="6">
        <f t="shared" si="3"/>
        <v>141.50301823280947</v>
      </c>
      <c r="AC11" s="6">
        <f t="shared" si="4"/>
        <v>4.7167672744269824</v>
      </c>
      <c r="AD11" s="36"/>
      <c r="AE11" s="6">
        <f t="shared" si="5"/>
        <v>1470.7292607123115</v>
      </c>
      <c r="AF11" s="6">
        <f t="shared" si="6"/>
        <v>-60.005753837062315</v>
      </c>
      <c r="AG11" s="6">
        <f t="shared" si="6"/>
        <v>-47.167672744269822</v>
      </c>
      <c r="AH11" s="6">
        <f t="shared" si="16"/>
        <v>-1287.9716290526139</v>
      </c>
      <c r="AI11" s="6">
        <f t="shared" si="17"/>
        <v>75.584205078365585</v>
      </c>
      <c r="AJ11" s="6">
        <f t="shared" si="22"/>
        <v>49.246249745528552</v>
      </c>
      <c r="AK11" s="6">
        <f t="shared" si="18"/>
        <v>47.694960267707643</v>
      </c>
      <c r="AL11" s="6">
        <f>SUM(AI11:AK11)</f>
        <v>172.52541509160179</v>
      </c>
      <c r="AM11" s="6">
        <f t="shared" si="8"/>
        <v>4.3413487265335782E-2</v>
      </c>
      <c r="AN11" s="6">
        <f t="shared" si="9"/>
        <v>172.56882857886711</v>
      </c>
      <c r="AR11" s="126">
        <f t="shared" si="23"/>
        <v>2017</v>
      </c>
      <c r="AS11" s="23">
        <f>SUM($AH$5:AH11)</f>
        <v>-7158.3003875908034</v>
      </c>
      <c r="AT11" s="32">
        <f>INDEX('20 Year NonSmoker Mortality Exp'!$A$25:$U$45,MATCH('20 Year Non-Smoker W Inter'!AR11,'20 Year NonSmoker Mortality Exp'!$A$25:$A$45,0),MATCH('20 Year Non-Smoker W Inter'!$E$4,'20 Year NonSmoker Mortality Exp'!$A$25:$U$25,0))</f>
        <v>152</v>
      </c>
      <c r="AU11" s="32"/>
      <c r="AV11" s="23"/>
    </row>
    <row r="12" spans="1:49" x14ac:dyDescent="0.15">
      <c r="A12" s="15"/>
      <c r="B12" s="17" t="s">
        <v>54</v>
      </c>
      <c r="C12" s="80">
        <v>0.05</v>
      </c>
      <c r="D12" s="2"/>
      <c r="E12" s="2"/>
      <c r="F12" s="2"/>
      <c r="G12" s="2"/>
      <c r="H12" s="2"/>
      <c r="I12" s="14">
        <f t="shared" si="10"/>
        <v>52</v>
      </c>
      <c r="J12" s="3">
        <f t="shared" si="11"/>
        <v>8</v>
      </c>
      <c r="K12" s="13">
        <f t="shared" si="12"/>
        <v>1559.0436999999999</v>
      </c>
      <c r="L12" s="13">
        <f t="shared" si="19"/>
        <v>63.608982960000006</v>
      </c>
      <c r="M12" s="26">
        <v>50</v>
      </c>
      <c r="N12" s="13">
        <f t="shared" si="0"/>
        <v>500000</v>
      </c>
      <c r="O12" s="30">
        <v>0.2</v>
      </c>
      <c r="P12" s="39">
        <f t="shared" si="1"/>
        <v>100</v>
      </c>
      <c r="Q12" s="39">
        <f t="shared" si="2"/>
        <v>5</v>
      </c>
      <c r="R12" s="30"/>
      <c r="S12" s="43">
        <f>VLOOKUP(I12,'Mortality Table Latest'!$A$3:$E$123,4,FALSE)*1000*(1-$B$32)</f>
        <v>1.9227999999999998</v>
      </c>
      <c r="T12" s="33">
        <v>6.2142490304071402E-3</v>
      </c>
      <c r="U12" s="37">
        <f t="shared" si="20"/>
        <v>0.94335345488539646</v>
      </c>
      <c r="V12" s="37">
        <f t="shared" si="13"/>
        <v>1.8138800230536403E-3</v>
      </c>
      <c r="W12" s="37">
        <f t="shared" si="14"/>
        <v>5.8622332923528005E-3</v>
      </c>
      <c r="X12" s="36">
        <f t="shared" si="21"/>
        <v>0.93567734156999005</v>
      </c>
      <c r="Y12" s="36"/>
      <c r="Z12" s="6">
        <f t="shared" si="15"/>
        <v>141.50301823280947</v>
      </c>
      <c r="AA12" s="6">
        <f t="shared" si="15"/>
        <v>4.7167672744269824</v>
      </c>
      <c r="AB12" s="6">
        <f t="shared" si="3"/>
        <v>93.567734156999009</v>
      </c>
      <c r="AC12" s="6">
        <f t="shared" si="4"/>
        <v>4.6783867078499499</v>
      </c>
      <c r="AD12" s="36"/>
      <c r="AE12" s="6">
        <f t="shared" si="5"/>
        <v>1458.7618646074411</v>
      </c>
      <c r="AF12" s="6">
        <f t="shared" si="6"/>
        <v>-59.517484075983603</v>
      </c>
      <c r="AG12" s="6">
        <f t="shared" si="6"/>
        <v>-46.783867078499505</v>
      </c>
      <c r="AH12" s="6">
        <f t="shared" si="16"/>
        <v>-906.94001152682017</v>
      </c>
      <c r="AI12" s="6">
        <f t="shared" si="17"/>
        <v>445.52050192613774</v>
      </c>
      <c r="AJ12" s="6">
        <f t="shared" si="22"/>
        <v>48.470077362229901</v>
      </c>
      <c r="AK12" s="6">
        <f t="shared" si="18"/>
        <v>45.900285731349207</v>
      </c>
      <c r="AL12" s="6">
        <f t="shared" si="7"/>
        <v>539.8908650197169</v>
      </c>
      <c r="AM12" s="6">
        <f t="shared" si="8"/>
        <v>3.8380566577032482E-2</v>
      </c>
      <c r="AN12" s="6">
        <f>AL12+AM12</f>
        <v>539.92924558629397</v>
      </c>
      <c r="AR12" s="126">
        <f t="shared" si="23"/>
        <v>2016</v>
      </c>
      <c r="AS12" s="23">
        <f>SUM($AH$5:AH12)</f>
        <v>-8065.2403991176234</v>
      </c>
      <c r="AT12" s="32">
        <f>INDEX('20 Year NonSmoker Mortality Exp'!$A$25:$U$45,MATCH('20 Year Non-Smoker W Inter'!AR12,'20 Year NonSmoker Mortality Exp'!$A$25:$A$45,0),MATCH('20 Year Non-Smoker W Inter'!$E$4,'20 Year NonSmoker Mortality Exp'!$A$25:$U$25,0))</f>
        <v>171</v>
      </c>
      <c r="AU12" s="32"/>
      <c r="AV12" s="23"/>
    </row>
    <row r="13" spans="1:49" x14ac:dyDescent="0.15">
      <c r="A13" s="15"/>
      <c r="B13" s="16" t="s">
        <v>55</v>
      </c>
      <c r="C13" s="80">
        <v>0.04</v>
      </c>
      <c r="D13" s="2"/>
      <c r="E13" s="2"/>
      <c r="F13" s="2"/>
      <c r="G13" s="2"/>
      <c r="H13" s="2"/>
      <c r="I13" s="14">
        <f t="shared" si="10"/>
        <v>53</v>
      </c>
      <c r="J13" s="3">
        <f t="shared" si="11"/>
        <v>9</v>
      </c>
      <c r="K13" s="13">
        <f t="shared" si="12"/>
        <v>1559.0436999999999</v>
      </c>
      <c r="L13" s="13">
        <f t="shared" si="19"/>
        <v>63.608982960000006</v>
      </c>
      <c r="M13" s="26">
        <v>50</v>
      </c>
      <c r="N13" s="13">
        <f t="shared" si="0"/>
        <v>500000</v>
      </c>
      <c r="O13" s="30">
        <v>0.1</v>
      </c>
      <c r="P13" s="39">
        <f t="shared" si="1"/>
        <v>50</v>
      </c>
      <c r="Q13" s="39">
        <f t="shared" si="2"/>
        <v>5</v>
      </c>
      <c r="R13" s="30"/>
      <c r="S13" s="43">
        <f>VLOOKUP(I13,'Mortality Table Latest'!$A$3:$E$123,4,FALSE)*1000*(1-$B$32)</f>
        <v>2.1160000000000001</v>
      </c>
      <c r="T13" s="33">
        <v>6.2409368032058377E-3</v>
      </c>
      <c r="U13" s="37">
        <f t="shared" si="20"/>
        <v>0.93567734156999005</v>
      </c>
      <c r="V13" s="37">
        <f t="shared" si="13"/>
        <v>1.9798932547620989E-3</v>
      </c>
      <c r="W13" s="37">
        <f t="shared" si="14"/>
        <v>5.8395031569299502E-3</v>
      </c>
      <c r="X13" s="36">
        <f t="shared" si="21"/>
        <v>0.927857945158298</v>
      </c>
      <c r="Y13" s="36"/>
      <c r="Z13" s="6">
        <f t="shared" si="15"/>
        <v>93.567734156999009</v>
      </c>
      <c r="AA13" s="6">
        <f t="shared" si="15"/>
        <v>4.6783867078499499</v>
      </c>
      <c r="AB13" s="6">
        <f t="shared" si="3"/>
        <v>46.392897257914903</v>
      </c>
      <c r="AC13" s="6">
        <f t="shared" si="4"/>
        <v>4.6392897257914898</v>
      </c>
      <c r="AD13" s="36"/>
      <c r="AE13" s="6">
        <f t="shared" si="5"/>
        <v>1446.5710838939899</v>
      </c>
      <c r="AF13" s="6">
        <f t="shared" si="6"/>
        <v>-59.020100222874795</v>
      </c>
      <c r="AG13" s="6">
        <f t="shared" si="6"/>
        <v>-46.392897257914903</v>
      </c>
      <c r="AH13" s="6">
        <f t="shared" si="16"/>
        <v>-989.94662738104944</v>
      </c>
      <c r="AI13" s="6">
        <f t="shared" si="17"/>
        <v>351.21145903215074</v>
      </c>
      <c r="AJ13" s="6">
        <f t="shared" si="22"/>
        <v>47.551478410040154</v>
      </c>
      <c r="AK13" s="6">
        <f t="shared" si="18"/>
        <v>44.128174004718133</v>
      </c>
      <c r="AL13" s="6">
        <f t="shared" si="7"/>
        <v>442.89111144690901</v>
      </c>
      <c r="AM13" s="6">
        <f t="shared" si="8"/>
        <v>3.9096982058460128E-2</v>
      </c>
      <c r="AN13" s="6">
        <f t="shared" si="9"/>
        <v>442.93020842896749</v>
      </c>
      <c r="AR13" s="126">
        <f>AR12-1</f>
        <v>2015</v>
      </c>
      <c r="AS13" s="23">
        <f>SUM($AH$5:AH13)</f>
        <v>-9055.1870264986719</v>
      </c>
      <c r="AT13" s="32">
        <f>INDEX('20 Year NonSmoker Mortality Exp'!$A$25:$U$45,MATCH('20 Year Non-Smoker W Inter'!AR13,'20 Year NonSmoker Mortality Exp'!$A$25:$A$45,0),MATCH('20 Year Non-Smoker W Inter'!$E$4,'20 Year NonSmoker Mortality Exp'!$A$25:$U$25,0))</f>
        <v>164</v>
      </c>
      <c r="AU13" s="32"/>
      <c r="AV13" s="23"/>
      <c r="AW13" s="34"/>
    </row>
    <row r="14" spans="1:49" x14ac:dyDescent="0.15">
      <c r="A14" s="19" t="s">
        <v>56</v>
      </c>
      <c r="B14" s="20"/>
      <c r="C14" s="79"/>
      <c r="D14" s="2"/>
      <c r="E14" s="81" t="s">
        <v>57</v>
      </c>
      <c r="F14" s="16"/>
      <c r="G14" s="16"/>
      <c r="H14" s="22">
        <v>0.01</v>
      </c>
      <c r="I14" s="14">
        <f t="shared" si="10"/>
        <v>54</v>
      </c>
      <c r="J14" s="3">
        <f t="shared" si="11"/>
        <v>10</v>
      </c>
      <c r="K14" s="13">
        <f t="shared" si="12"/>
        <v>1559.0436999999999</v>
      </c>
      <c r="L14" s="13">
        <f t="shared" si="19"/>
        <v>63.608982960000006</v>
      </c>
      <c r="M14" s="26">
        <v>50</v>
      </c>
      <c r="N14" s="13">
        <f t="shared" si="0"/>
        <v>500000</v>
      </c>
      <c r="O14" s="30">
        <v>0.1</v>
      </c>
      <c r="P14" s="39">
        <f t="shared" si="1"/>
        <v>50</v>
      </c>
      <c r="Q14" s="39">
        <f t="shared" si="2"/>
        <v>5</v>
      </c>
      <c r="R14" s="30"/>
      <c r="S14" s="43">
        <f>VLOOKUP(I14,'Mortality Table Latest'!$A$3:$E$123,4,FALSE)*1000*(1-$B$32)</f>
        <v>2.3368000000000002</v>
      </c>
      <c r="T14" s="33">
        <v>6.3516835916622126E-3</v>
      </c>
      <c r="U14" s="37">
        <f t="shared" si="20"/>
        <v>0.927857945158298</v>
      </c>
      <c r="V14" s="37">
        <f t="shared" si="13"/>
        <v>2.1682184462459109E-3</v>
      </c>
      <c r="W14" s="37">
        <f t="shared" si="14"/>
        <v>5.8934600856553783E-3</v>
      </c>
      <c r="X14" s="36">
        <f t="shared" si="21"/>
        <v>0.91979626662639669</v>
      </c>
      <c r="Y14" s="36"/>
      <c r="Z14" s="6">
        <f t="shared" si="15"/>
        <v>46.392897257914903</v>
      </c>
      <c r="AA14" s="6">
        <f t="shared" si="15"/>
        <v>4.6392897257914898</v>
      </c>
      <c r="AB14" s="6">
        <f t="shared" si="3"/>
        <v>45.989813331319837</v>
      </c>
      <c r="AC14" s="6">
        <f t="shared" si="4"/>
        <v>4.5989813331319835</v>
      </c>
      <c r="AD14" s="36"/>
      <c r="AE14" s="6">
        <f t="shared" si="5"/>
        <v>1434.002574767404</v>
      </c>
      <c r="AF14" s="6">
        <f t="shared" si="6"/>
        <v>-58.507305050510091</v>
      </c>
      <c r="AG14" s="6">
        <f t="shared" si="6"/>
        <v>-45.989813331319837</v>
      </c>
      <c r="AH14" s="6">
        <f t="shared" si="16"/>
        <v>-1084.1092231229554</v>
      </c>
      <c r="AI14" s="6">
        <f>SUM(AE14:AH14)</f>
        <v>245.39623326261881</v>
      </c>
      <c r="AJ14" s="6">
        <f t="shared" si="22"/>
        <v>0.39096982058460517</v>
      </c>
      <c r="AK14" s="6">
        <f t="shared" si="18"/>
        <v>42.367865464007835</v>
      </c>
      <c r="AL14" s="6">
        <f t="shared" si="7"/>
        <v>288.15506854721127</v>
      </c>
      <c r="AM14" s="6">
        <f t="shared" si="8"/>
        <v>4.0308392659506254E-2</v>
      </c>
      <c r="AN14" s="6">
        <f t="shared" si="9"/>
        <v>288.19537693987075</v>
      </c>
      <c r="AR14" s="126">
        <f>AR13-1</f>
        <v>2014</v>
      </c>
      <c r="AS14" s="23">
        <f>SUM($AH$5:AH14)</f>
        <v>-10139.296249621628</v>
      </c>
      <c r="AT14" s="32">
        <f>INDEX('20 Year NonSmoker Mortality Exp'!$A$25:$U$45,MATCH('20 Year Non-Smoker W Inter'!AR14,'20 Year NonSmoker Mortality Exp'!$A$25:$A$45,0),MATCH('20 Year Non-Smoker W Inter'!$E$4,'20 Year NonSmoker Mortality Exp'!$A$25:$U$25,0))</f>
        <v>169</v>
      </c>
      <c r="AU14" s="32"/>
      <c r="AV14" s="23"/>
    </row>
    <row r="15" spans="1:49" x14ac:dyDescent="0.15">
      <c r="A15" s="19"/>
      <c r="B15" s="20" t="s">
        <v>50</v>
      </c>
      <c r="C15" s="20" t="s">
        <v>51</v>
      </c>
      <c r="D15" s="2"/>
      <c r="E15" s="2"/>
      <c r="F15" s="2"/>
      <c r="G15" s="2"/>
      <c r="H15" s="2"/>
      <c r="I15" s="14">
        <f t="shared" si="10"/>
        <v>55</v>
      </c>
      <c r="J15" s="3">
        <f t="shared" si="11"/>
        <v>11</v>
      </c>
      <c r="K15" s="13">
        <f t="shared" si="12"/>
        <v>1559.0436999999999</v>
      </c>
      <c r="L15" s="13">
        <f t="shared" si="19"/>
        <v>63.608982960000006</v>
      </c>
      <c r="M15" s="26">
        <v>50</v>
      </c>
      <c r="N15" s="13">
        <f t="shared" si="0"/>
        <v>500000</v>
      </c>
      <c r="O15" s="30">
        <v>0.1</v>
      </c>
      <c r="P15" s="39">
        <f t="shared" si="1"/>
        <v>50</v>
      </c>
      <c r="Q15" s="39">
        <f t="shared" si="2"/>
        <v>5</v>
      </c>
      <c r="R15" s="35"/>
      <c r="S15" s="43">
        <f>VLOOKUP(I15,'Mortality Table Latest'!$A$3:$E$123,4,FALSE)*1000*(1-$B$32)</f>
        <v>2.5861200000000002</v>
      </c>
      <c r="T15" s="33">
        <v>6.1751981070953072E-3</v>
      </c>
      <c r="U15" s="37">
        <f t="shared" si="20"/>
        <v>0.91979626662639669</v>
      </c>
      <c r="V15" s="37">
        <f t="shared" si="13"/>
        <v>2.378703521047857E-3</v>
      </c>
      <c r="W15" s="37">
        <f t="shared" si="14"/>
        <v>5.6799241645846552E-3</v>
      </c>
      <c r="X15" s="36">
        <f t="shared" si="21"/>
        <v>0.91173763894076421</v>
      </c>
      <c r="Y15" s="35"/>
      <c r="Z15" s="6">
        <f t="shared" si="15"/>
        <v>45.989813331319837</v>
      </c>
      <c r="AA15" s="6">
        <f t="shared" si="15"/>
        <v>4.5989813331319835</v>
      </c>
      <c r="AB15" s="6">
        <f t="shared" si="3"/>
        <v>45.586881947038208</v>
      </c>
      <c r="AC15" s="6">
        <f t="shared" si="4"/>
        <v>4.5586881947038211</v>
      </c>
      <c r="AD15" s="35"/>
      <c r="AE15" s="6">
        <f t="shared" si="5"/>
        <v>1421.438822043473</v>
      </c>
      <c r="AF15" s="6">
        <f t="shared" si="6"/>
        <v>-57.994703939373707</v>
      </c>
      <c r="AG15" s="6">
        <f t="shared" si="6"/>
        <v>-45.586881947038208</v>
      </c>
      <c r="AH15" s="6">
        <f t="shared" si="16"/>
        <v>-1189.3517605239285</v>
      </c>
      <c r="AI15" s="6">
        <f t="shared" ref="AI15:AI24" si="24">SUM(AE15:AH15)</f>
        <v>128.50547563313262</v>
      </c>
      <c r="AJ15" s="6">
        <f t="shared" si="22"/>
        <v>0.40308392659506309</v>
      </c>
      <c r="AK15" s="6">
        <f t="shared" si="18"/>
        <v>41.996777509225971</v>
      </c>
      <c r="AL15" s="6">
        <f t="shared" ref="AL15:AL24" si="25">SUM(AI15:AK15)</f>
        <v>170.90533706895366</v>
      </c>
      <c r="AM15" s="6">
        <f t="shared" si="8"/>
        <v>4.0293138428162401E-2</v>
      </c>
      <c r="AN15" s="6">
        <f t="shared" si="9"/>
        <v>170.94563020738181</v>
      </c>
      <c r="AR15" s="126">
        <f t="shared" si="23"/>
        <v>2013</v>
      </c>
      <c r="AS15" s="23">
        <f>SUM($AH$5:AH15)</f>
        <v>-11328.648010145556</v>
      </c>
      <c r="AT15" s="32">
        <f>INDEX('20 Year NonSmoker Mortality Exp'!$A$25:$U$45,MATCH('20 Year Non-Smoker W Inter'!AR15,'20 Year NonSmoker Mortality Exp'!$A$25:$A$45,0),MATCH('20 Year Non-Smoker W Inter'!$E$4,'20 Year NonSmoker Mortality Exp'!$A$25:$U$25,0))</f>
        <v>171</v>
      </c>
      <c r="AU15" s="32"/>
      <c r="AV15" s="23"/>
    </row>
    <row r="16" spans="1:49" x14ac:dyDescent="0.15">
      <c r="A16" s="19"/>
      <c r="B16" s="20">
        <v>1</v>
      </c>
      <c r="C16" s="85">
        <f>70%*E21</f>
        <v>0.28559999999999997</v>
      </c>
      <c r="D16" s="2" t="s">
        <v>58</v>
      </c>
      <c r="E16" s="2"/>
      <c r="F16" s="2"/>
      <c r="G16" s="5"/>
      <c r="H16" s="2"/>
      <c r="I16" s="14">
        <f t="shared" si="10"/>
        <v>56</v>
      </c>
      <c r="J16" s="3">
        <f t="shared" si="11"/>
        <v>12</v>
      </c>
      <c r="K16" s="13">
        <f t="shared" si="12"/>
        <v>1559.0436999999999</v>
      </c>
      <c r="L16" s="13">
        <f t="shared" si="19"/>
        <v>63.608982960000006</v>
      </c>
      <c r="M16" s="26">
        <v>50</v>
      </c>
      <c r="N16" s="13">
        <f t="shared" si="0"/>
        <v>500000</v>
      </c>
      <c r="O16" s="30">
        <v>0.1</v>
      </c>
      <c r="P16" s="39">
        <f t="shared" si="1"/>
        <v>50</v>
      </c>
      <c r="Q16" s="39">
        <f t="shared" si="2"/>
        <v>5</v>
      </c>
      <c r="R16" s="35"/>
      <c r="S16" s="43">
        <f>VLOOKUP(I16,'Mortality Table Latest'!$A$3:$E$123,4,FALSE)*1000*(1-$B$32)</f>
        <v>2.2650400000000004</v>
      </c>
      <c r="T16" s="33">
        <v>6.1946313195230798E-3</v>
      </c>
      <c r="U16" s="37">
        <f t="shared" si="20"/>
        <v>0.91173763894076421</v>
      </c>
      <c r="V16" s="37">
        <f t="shared" si="13"/>
        <v>2.0651222217063889E-3</v>
      </c>
      <c r="W16" s="37">
        <f t="shared" si="14"/>
        <v>5.6478785333704835E-3</v>
      </c>
      <c r="X16" s="36">
        <f t="shared" si="21"/>
        <v>0.90402463818568735</v>
      </c>
      <c r="Y16" s="35"/>
      <c r="Z16" s="6">
        <f>AB15</f>
        <v>45.586881947038208</v>
      </c>
      <c r="AA16" s="6">
        <f t="shared" si="15"/>
        <v>4.5586881947038211</v>
      </c>
      <c r="AB16" s="6">
        <f t="shared" si="3"/>
        <v>45.201231909284367</v>
      </c>
      <c r="AC16" s="6">
        <f t="shared" si="4"/>
        <v>4.5201231909284365</v>
      </c>
      <c r="AD16" s="24"/>
      <c r="AE16" s="6">
        <f t="shared" si="5"/>
        <v>1409.4139168081751</v>
      </c>
      <c r="AF16" s="6">
        <f t="shared" si="6"/>
        <v>-57.504087805773558</v>
      </c>
      <c r="AG16" s="6">
        <f t="shared" si="6"/>
        <v>-45.201231909284367</v>
      </c>
      <c r="AH16" s="6">
        <f t="shared" si="16"/>
        <v>-1032.5611108531944</v>
      </c>
      <c r="AI16" s="6">
        <f t="shared" si="24"/>
        <v>274.14748623992296</v>
      </c>
      <c r="AJ16" s="6">
        <f t="shared" si="22"/>
        <v>0.40293138428162262</v>
      </c>
      <c r="AK16" s="6">
        <f t="shared" si="18"/>
        <v>41.641045354581067</v>
      </c>
      <c r="AL16" s="6">
        <f t="shared" si="25"/>
        <v>316.19146297878564</v>
      </c>
      <c r="AM16" s="6">
        <f t="shared" si="8"/>
        <v>3.8565003775384632E-2</v>
      </c>
      <c r="AN16" s="6">
        <f t="shared" si="9"/>
        <v>316.23002798256101</v>
      </c>
      <c r="AR16" s="126">
        <f t="shared" si="23"/>
        <v>2012</v>
      </c>
      <c r="AS16" s="23">
        <f>SUM($AH$5:AH16)</f>
        <v>-12361.20912099875</v>
      </c>
      <c r="AT16" s="32">
        <f>INDEX('20 Year NonSmoker Mortality Exp'!$A$25:$U$45,MATCH('20 Year Non-Smoker W Inter'!AR16,'20 Year NonSmoker Mortality Exp'!$A$25:$A$45,0),MATCH('20 Year Non-Smoker W Inter'!$E$4,'20 Year NonSmoker Mortality Exp'!$A$25:$U$25,0))</f>
        <v>164</v>
      </c>
      <c r="AU16" s="32"/>
      <c r="AV16" s="23"/>
    </row>
    <row r="17" spans="1:48" x14ac:dyDescent="0.15">
      <c r="A17" s="19"/>
      <c r="B17" s="21" t="s">
        <v>59</v>
      </c>
      <c r="C17" s="85">
        <f>10%*E21</f>
        <v>4.0800000000000003E-2</v>
      </c>
      <c r="D17" s="2" t="s">
        <v>60</v>
      </c>
      <c r="E17" s="2"/>
      <c r="F17" s="2"/>
      <c r="G17" s="5"/>
      <c r="H17" s="2"/>
      <c r="I17" s="14">
        <f t="shared" si="10"/>
        <v>57</v>
      </c>
      <c r="J17" s="3">
        <f t="shared" si="11"/>
        <v>13</v>
      </c>
      <c r="K17" s="13">
        <f t="shared" si="12"/>
        <v>1559.0436999999999</v>
      </c>
      <c r="L17" s="13">
        <f t="shared" si="19"/>
        <v>63.608982960000006</v>
      </c>
      <c r="M17" s="26">
        <v>50</v>
      </c>
      <c r="N17" s="13">
        <f t="shared" si="0"/>
        <v>500000</v>
      </c>
      <c r="O17" s="30">
        <v>0.1</v>
      </c>
      <c r="P17" s="39">
        <f t="shared" si="1"/>
        <v>50</v>
      </c>
      <c r="Q17" s="39">
        <f t="shared" si="2"/>
        <v>5</v>
      </c>
      <c r="R17" s="35"/>
      <c r="S17" s="43">
        <f>VLOOKUP(I17,'Mortality Table Latest'!$A$3:$E$123,4,FALSE)*1000*(1-$B$32)</f>
        <v>2.4867600000000003</v>
      </c>
      <c r="T17" s="33">
        <v>6.0987029306397147E-3</v>
      </c>
      <c r="U17" s="37">
        <f t="shared" si="20"/>
        <v>0.90402463818568735</v>
      </c>
      <c r="V17" s="37">
        <f t="shared" si="13"/>
        <v>2.2480923092546403E-3</v>
      </c>
      <c r="W17" s="37">
        <f t="shared" si="14"/>
        <v>5.5133777102735594E-3</v>
      </c>
      <c r="X17" s="36">
        <f t="shared" si="21"/>
        <v>0.89626316816615914</v>
      </c>
      <c r="Y17" s="35"/>
      <c r="Z17" s="6">
        <f t="shared" si="15"/>
        <v>45.201231909284367</v>
      </c>
      <c r="AA17" s="6">
        <f t="shared" si="15"/>
        <v>4.5201231909284365</v>
      </c>
      <c r="AB17" s="6">
        <f t="shared" si="3"/>
        <v>44.813158408307956</v>
      </c>
      <c r="AC17" s="6">
        <f t="shared" si="4"/>
        <v>4.4813158408307956</v>
      </c>
      <c r="AD17" s="25"/>
      <c r="AE17" s="6">
        <f t="shared" si="5"/>
        <v>1397.313445871491</v>
      </c>
      <c r="AF17" s="6">
        <f t="shared" si="6"/>
        <v>-57.01038859155684</v>
      </c>
      <c r="AG17" s="6">
        <f t="shared" si="6"/>
        <v>-44.813158408307956</v>
      </c>
      <c r="AH17" s="6">
        <f t="shared" si="16"/>
        <v>-1124.0461546273202</v>
      </c>
      <c r="AI17" s="6">
        <f t="shared" si="24"/>
        <v>171.44374424430589</v>
      </c>
      <c r="AJ17" s="6">
        <f t="shared" si="22"/>
        <v>0.38565003775384299</v>
      </c>
      <c r="AK17" s="6">
        <f t="shared" si="18"/>
        <v>41.283725047690368</v>
      </c>
      <c r="AL17" s="6">
        <f t="shared" si="25"/>
        <v>213.11311932975008</v>
      </c>
      <c r="AM17" s="6">
        <f t="shared" si="8"/>
        <v>3.8807350097640914E-2</v>
      </c>
      <c r="AN17" s="6">
        <f t="shared" si="9"/>
        <v>213.15192667984772</v>
      </c>
      <c r="AR17" s="126">
        <f t="shared" si="23"/>
        <v>2011</v>
      </c>
      <c r="AS17" s="23">
        <f>SUM($AH$5:AH17)</f>
        <v>-13485.25527562607</v>
      </c>
      <c r="AT17" s="32">
        <f>INDEX('20 Year NonSmoker Mortality Exp'!$A$25:$U$45,MATCH('20 Year Non-Smoker W Inter'!AR17,'20 Year NonSmoker Mortality Exp'!$A$25:$A$45,0),MATCH('20 Year Non-Smoker W Inter'!$E$4,'20 Year NonSmoker Mortality Exp'!$A$25:$U$25,0))</f>
        <v>159</v>
      </c>
      <c r="AU17" s="32"/>
      <c r="AV17" s="23"/>
    </row>
    <row r="18" spans="1:48" x14ac:dyDescent="0.15">
      <c r="A18" s="15" t="s">
        <v>61</v>
      </c>
      <c r="B18" s="17"/>
      <c r="C18" s="4"/>
      <c r="D18" s="2"/>
      <c r="E18" s="2"/>
      <c r="F18" s="2"/>
      <c r="G18" s="2"/>
      <c r="H18" s="2"/>
      <c r="I18" s="14">
        <f t="shared" si="10"/>
        <v>58</v>
      </c>
      <c r="J18" s="3">
        <f t="shared" si="11"/>
        <v>14</v>
      </c>
      <c r="K18" s="13">
        <f t="shared" si="12"/>
        <v>1559.0436999999999</v>
      </c>
      <c r="L18" s="13">
        <f t="shared" si="19"/>
        <v>63.608982960000006</v>
      </c>
      <c r="M18" s="26">
        <v>50</v>
      </c>
      <c r="N18" s="13">
        <f t="shared" si="0"/>
        <v>500000</v>
      </c>
      <c r="O18" s="30">
        <v>0.1</v>
      </c>
      <c r="P18" s="39">
        <f t="shared" si="1"/>
        <v>50</v>
      </c>
      <c r="Q18" s="39">
        <f t="shared" si="2"/>
        <v>5</v>
      </c>
      <c r="R18" s="35"/>
      <c r="S18" s="43">
        <f>VLOOKUP(I18,'Mortality Table Latest'!$A$3:$E$123,4,FALSE)*1000*(1-$B$32)</f>
        <v>2.7305600000000001</v>
      </c>
      <c r="T18" s="33">
        <v>6.130532116411228E-3</v>
      </c>
      <c r="U18" s="37">
        <f t="shared" si="20"/>
        <v>0.89626316816615914</v>
      </c>
      <c r="V18" s="37">
        <f t="shared" si="13"/>
        <v>2.4473003564677875E-3</v>
      </c>
      <c r="W18" s="37">
        <f t="shared" si="14"/>
        <v>5.4945701371991156E-3</v>
      </c>
      <c r="X18" s="36">
        <f t="shared" si="21"/>
        <v>0.88832129767249224</v>
      </c>
      <c r="Y18" s="35"/>
      <c r="Z18" s="6">
        <f t="shared" si="15"/>
        <v>44.813158408307956</v>
      </c>
      <c r="AA18" s="6">
        <f t="shared" si="15"/>
        <v>4.4813158408307956</v>
      </c>
      <c r="AB18" s="6">
        <f t="shared" si="3"/>
        <v>44.416064883624614</v>
      </c>
      <c r="AC18" s="6">
        <f t="shared" si="4"/>
        <v>4.4416064883624609</v>
      </c>
      <c r="AD18" s="24"/>
      <c r="AE18" s="6">
        <f t="shared" si="5"/>
        <v>1384.9317227121237</v>
      </c>
      <c r="AF18" s="6">
        <f t="shared" si="6"/>
        <v>-56.505214286654649</v>
      </c>
      <c r="AG18" s="6">
        <f t="shared" si="6"/>
        <v>-44.416064883624614</v>
      </c>
      <c r="AH18" s="6">
        <f t="shared" si="16"/>
        <v>-1223.6501782338937</v>
      </c>
      <c r="AI18" s="6">
        <f t="shared" si="24"/>
        <v>60.36026530795084</v>
      </c>
      <c r="AJ18" s="6">
        <f t="shared" si="22"/>
        <v>0.38807350097640886</v>
      </c>
      <c r="AK18" s="6">
        <f t="shared" si="18"/>
        <v>40.918313185435856</v>
      </c>
      <c r="AL18" s="6">
        <f t="shared" si="25"/>
        <v>101.66665199436311</v>
      </c>
      <c r="AM18" s="6">
        <f t="shared" si="8"/>
        <v>3.9709352468334735E-2</v>
      </c>
      <c r="AN18" s="6">
        <f t="shared" si="9"/>
        <v>101.70636134683144</v>
      </c>
      <c r="AR18" s="126">
        <f t="shared" si="23"/>
        <v>2010</v>
      </c>
      <c r="AS18" s="23">
        <f>SUM($AH$5:AH18)</f>
        <v>-14708.905453859963</v>
      </c>
      <c r="AT18" s="32">
        <f>INDEX('20 Year NonSmoker Mortality Exp'!$A$25:$U$45,MATCH('20 Year Non-Smoker W Inter'!AR18,'20 Year NonSmoker Mortality Exp'!$A$25:$A$45,0),MATCH('20 Year Non-Smoker W Inter'!$E$4,'20 Year NonSmoker Mortality Exp'!$A$25:$U$25,0))</f>
        <v>139</v>
      </c>
      <c r="AU18" s="32"/>
      <c r="AV18" s="23"/>
    </row>
    <row r="19" spans="1:48" x14ac:dyDescent="0.15">
      <c r="A19" s="15"/>
      <c r="B19" s="16" t="s">
        <v>50</v>
      </c>
      <c r="C19" s="16" t="s">
        <v>51</v>
      </c>
      <c r="D19" s="2"/>
      <c r="E19" s="2"/>
      <c r="F19" s="2"/>
      <c r="G19" s="5"/>
      <c r="H19" s="5"/>
      <c r="I19" s="14">
        <f t="shared" si="10"/>
        <v>59</v>
      </c>
      <c r="J19" s="3">
        <f t="shared" si="11"/>
        <v>15</v>
      </c>
      <c r="K19" s="13">
        <f t="shared" si="12"/>
        <v>1559.0436999999999</v>
      </c>
      <c r="L19" s="13">
        <f t="shared" si="19"/>
        <v>63.608982960000006</v>
      </c>
      <c r="M19" s="26">
        <v>50</v>
      </c>
      <c r="N19" s="13">
        <f t="shared" si="0"/>
        <v>500000</v>
      </c>
      <c r="O19" s="30">
        <v>0.1</v>
      </c>
      <c r="P19" s="39">
        <f t="shared" si="1"/>
        <v>50</v>
      </c>
      <c r="Q19" s="39">
        <f t="shared" si="2"/>
        <v>5</v>
      </c>
      <c r="R19" s="35"/>
      <c r="S19" s="43">
        <f>VLOOKUP(I19,'Mortality Table Latest'!$A$3:$E$123,4,FALSE)*1000*(1-$B$32)</f>
        <v>3.02312</v>
      </c>
      <c r="T19" s="33">
        <v>6.2156755918412795E-3</v>
      </c>
      <c r="U19" s="37">
        <f t="shared" si="20"/>
        <v>0.88832129767249224</v>
      </c>
      <c r="V19" s="37">
        <f t="shared" si="13"/>
        <v>2.6855018814196645E-3</v>
      </c>
      <c r="W19" s="37">
        <f t="shared" si="14"/>
        <v>5.5215170076556817E-3</v>
      </c>
      <c r="X19" s="36">
        <f t="shared" si="21"/>
        <v>0.88011427878341686</v>
      </c>
      <c r="Y19" s="35"/>
      <c r="Z19" s="6">
        <f t="shared" si="15"/>
        <v>44.416064883624614</v>
      </c>
      <c r="AA19" s="6">
        <f t="shared" si="15"/>
        <v>4.4416064883624609</v>
      </c>
      <c r="AB19" s="6">
        <f t="shared" si="3"/>
        <v>44.005713939170846</v>
      </c>
      <c r="AC19" s="6">
        <f t="shared" si="4"/>
        <v>4.4005713939170841</v>
      </c>
      <c r="AE19" s="6">
        <f t="shared" si="5"/>
        <v>1372.1366216173296</v>
      </c>
      <c r="AF19" s="6">
        <f t="shared" si="6"/>
        <v>-55.983174161987058</v>
      </c>
      <c r="AG19" s="6">
        <f t="shared" si="6"/>
        <v>-44.005713939170846</v>
      </c>
      <c r="AH19" s="6">
        <f t="shared" si="16"/>
        <v>-1342.7509407098323</v>
      </c>
      <c r="AI19" s="6">
        <f t="shared" si="24"/>
        <v>-70.603207193660637</v>
      </c>
      <c r="AJ19" s="6">
        <f t="shared" si="22"/>
        <v>0.39709352468334652</v>
      </c>
      <c r="AK19" s="6">
        <f t="shared" si="18"/>
        <v>40.540830229171696</v>
      </c>
      <c r="AL19" s="6">
        <f t="shared" si="25"/>
        <v>-29.665283439805599</v>
      </c>
      <c r="AM19" s="6">
        <f t="shared" si="8"/>
        <v>4.1035094445376785E-2</v>
      </c>
      <c r="AN19" s="6">
        <f t="shared" si="9"/>
        <v>-29.624248345360222</v>
      </c>
      <c r="AR19" s="126">
        <f t="shared" si="23"/>
        <v>2009</v>
      </c>
      <c r="AS19" s="23">
        <f>SUM($AH$5:AH19)</f>
        <v>-16051.656394569796</v>
      </c>
      <c r="AT19" s="32">
        <f>INDEX('20 Year NonSmoker Mortality Exp'!$A$25:$U$45,MATCH('20 Year Non-Smoker W Inter'!AR19,'20 Year NonSmoker Mortality Exp'!$A$25:$A$45,0),MATCH('20 Year Non-Smoker W Inter'!$E$4,'20 Year NonSmoker Mortality Exp'!$A$25:$U$25,0))</f>
        <v>153</v>
      </c>
      <c r="AU19" s="32"/>
      <c r="AV19" s="23"/>
    </row>
    <row r="20" spans="1:48" x14ac:dyDescent="0.15">
      <c r="A20" s="15"/>
      <c r="B20" s="16">
        <v>1</v>
      </c>
      <c r="C20" s="12">
        <v>100</v>
      </c>
      <c r="D20" s="2"/>
      <c r="E20" s="2"/>
      <c r="F20" s="2"/>
      <c r="G20" s="2"/>
      <c r="H20" s="2"/>
      <c r="I20" s="14">
        <f t="shared" si="10"/>
        <v>60</v>
      </c>
      <c r="J20" s="3">
        <f t="shared" si="11"/>
        <v>16</v>
      </c>
      <c r="K20" s="13">
        <f t="shared" si="12"/>
        <v>1559.0436999999999</v>
      </c>
      <c r="L20" s="13">
        <f t="shared" si="19"/>
        <v>63.608982960000006</v>
      </c>
      <c r="M20" s="26">
        <v>50</v>
      </c>
      <c r="N20" s="13">
        <f t="shared" si="0"/>
        <v>500000</v>
      </c>
      <c r="O20" s="30">
        <v>0.1</v>
      </c>
      <c r="P20" s="39">
        <f t="shared" si="1"/>
        <v>50</v>
      </c>
      <c r="Q20" s="39">
        <f t="shared" si="2"/>
        <v>5</v>
      </c>
      <c r="R20" s="35"/>
      <c r="S20" s="43">
        <f>VLOOKUP(I20,'Mortality Table Latest'!$A$3:$E$123,4,FALSE)*1000*(1-$B$32)</f>
        <v>3.335</v>
      </c>
      <c r="T20" s="33">
        <v>6.0689333954354911E-3</v>
      </c>
      <c r="U20" s="37">
        <f t="shared" si="20"/>
        <v>0.88011427878341686</v>
      </c>
      <c r="V20" s="37">
        <f t="shared" si="13"/>
        <v>2.9351811197426952E-3</v>
      </c>
      <c r="W20" s="37">
        <f t="shared" si="14"/>
        <v>5.3413549383083004E-3</v>
      </c>
      <c r="X20" s="36">
        <f t="shared" si="21"/>
        <v>0.87183774272536585</v>
      </c>
      <c r="Y20" s="35"/>
      <c r="Z20" s="6">
        <f t="shared" si="15"/>
        <v>44.005713939170846</v>
      </c>
      <c r="AA20" s="6">
        <f t="shared" si="15"/>
        <v>4.4005713939170841</v>
      </c>
      <c r="AB20" s="6">
        <f t="shared" si="3"/>
        <v>43.591887136268291</v>
      </c>
      <c r="AC20" s="6">
        <f t="shared" si="4"/>
        <v>4.3591887136268292</v>
      </c>
      <c r="AD20" s="24"/>
      <c r="AE20" s="6">
        <f t="shared" si="5"/>
        <v>1359.2331402182024</v>
      </c>
      <c r="AF20" s="6">
        <f t="shared" si="6"/>
        <v>-55.456712120902665</v>
      </c>
      <c r="AG20" s="6">
        <f t="shared" si="6"/>
        <v>-43.591887136268291</v>
      </c>
      <c r="AH20" s="6">
        <f t="shared" si="16"/>
        <v>-1467.5905598713475</v>
      </c>
      <c r="AI20" s="6">
        <f t="shared" si="24"/>
        <v>-207.40601891031611</v>
      </c>
      <c r="AJ20" s="6">
        <f t="shared" si="22"/>
        <v>0.41035094445376896</v>
      </c>
      <c r="AK20" s="6">
        <f t="shared" si="18"/>
        <v>40.15982658888251</v>
      </c>
      <c r="AL20" s="6">
        <f t="shared" si="25"/>
        <v>-166.83584137697983</v>
      </c>
      <c r="AM20" s="6">
        <f t="shared" si="8"/>
        <v>4.1382680290254825E-2</v>
      </c>
      <c r="AN20" s="6">
        <f t="shared" si="9"/>
        <v>-166.79445869668956</v>
      </c>
      <c r="AR20" s="126">
        <f t="shared" si="23"/>
        <v>2008</v>
      </c>
      <c r="AS20" s="23">
        <f>SUM($AH$5:AH20)</f>
        <v>-17519.246954441143</v>
      </c>
      <c r="AT20" s="32">
        <f>INDEX('20 Year NonSmoker Mortality Exp'!$A$25:$U$45,MATCH('20 Year Non-Smoker W Inter'!AR20,'20 Year NonSmoker Mortality Exp'!$A$25:$A$45,0),MATCH('20 Year Non-Smoker W Inter'!$E$4,'20 Year NonSmoker Mortality Exp'!$A$25:$U$25,0))</f>
        <v>137</v>
      </c>
      <c r="AU20" s="32"/>
      <c r="AV20" s="23"/>
    </row>
    <row r="21" spans="1:48" ht="28" x14ac:dyDescent="0.15">
      <c r="A21" s="15"/>
      <c r="B21" s="17" t="s">
        <v>59</v>
      </c>
      <c r="C21" s="12">
        <v>50</v>
      </c>
      <c r="D21" s="2"/>
      <c r="E21" s="47">
        <v>0.40799999999999997</v>
      </c>
      <c r="F21" s="18" t="s">
        <v>62</v>
      </c>
      <c r="G21" s="5"/>
      <c r="H21" s="5"/>
      <c r="I21" s="14">
        <f t="shared" si="10"/>
        <v>61</v>
      </c>
      <c r="J21" s="3">
        <f t="shared" si="11"/>
        <v>17</v>
      </c>
      <c r="K21" s="13">
        <f t="shared" si="12"/>
        <v>1559.0436999999999</v>
      </c>
      <c r="L21" s="13">
        <f t="shared" si="19"/>
        <v>63.608982960000006</v>
      </c>
      <c r="M21" s="26">
        <v>50</v>
      </c>
      <c r="N21" s="13">
        <f t="shared" si="0"/>
        <v>500000</v>
      </c>
      <c r="O21" s="30">
        <v>0.1</v>
      </c>
      <c r="P21" s="39">
        <f t="shared" si="1"/>
        <v>50</v>
      </c>
      <c r="Q21" s="39">
        <f t="shared" si="2"/>
        <v>5</v>
      </c>
      <c r="R21" s="35"/>
      <c r="S21" s="43">
        <f>VLOOKUP(I21,'Mortality Table Latest'!$A$3:$E$123,4,FALSE)*1000*(1-$B$32)</f>
        <v>3.6450400000000003</v>
      </c>
      <c r="T21" s="33">
        <v>6.0125762594170394E-3</v>
      </c>
      <c r="U21" s="37">
        <f t="shared" si="20"/>
        <v>0.87183774272536585</v>
      </c>
      <c r="V21" s="37">
        <f t="shared" si="13"/>
        <v>3.1778834457436679E-3</v>
      </c>
      <c r="W21" s="37">
        <f t="shared" si="14"/>
        <v>5.2419909139742758E-3</v>
      </c>
      <c r="X21" s="36">
        <f t="shared" si="21"/>
        <v>0.86341786836564793</v>
      </c>
      <c r="Y21" s="35"/>
      <c r="Z21" s="6">
        <f t="shared" si="15"/>
        <v>43.591887136268291</v>
      </c>
      <c r="AA21" s="6">
        <f t="shared" si="15"/>
        <v>4.3591887136268292</v>
      </c>
      <c r="AB21" s="6">
        <f t="shared" si="3"/>
        <v>43.170893418282397</v>
      </c>
      <c r="AC21" s="6">
        <f t="shared" si="4"/>
        <v>4.3170893418282397</v>
      </c>
      <c r="AD21" s="35"/>
      <c r="AE21" s="6">
        <f>$X21*K21</f>
        <v>1346.1061881428927</v>
      </c>
      <c r="AF21" s="6">
        <f t="shared" ref="AF21:AG24" si="26">-$X21*L21</f>
        <v>-54.921132476230028</v>
      </c>
      <c r="AG21" s="6">
        <f t="shared" si="26"/>
        <v>-43.170893418282397</v>
      </c>
      <c r="AH21" s="6">
        <f t="shared" si="16"/>
        <v>-1588.9417228718339</v>
      </c>
      <c r="AI21" s="6">
        <f t="shared" si="24"/>
        <v>-340.9275606234537</v>
      </c>
      <c r="AJ21" s="6">
        <f t="shared" si="22"/>
        <v>0.41382680290254908</v>
      </c>
      <c r="AK21" s="6">
        <f t="shared" si="18"/>
        <v>39.772343106041767</v>
      </c>
      <c r="AL21" s="6">
        <f t="shared" si="25"/>
        <v>-300.74139071450935</v>
      </c>
      <c r="AM21" s="6">
        <f t="shared" si="8"/>
        <v>4.209937179858958E-2</v>
      </c>
      <c r="AN21" s="6">
        <f t="shared" si="9"/>
        <v>-300.69929134271075</v>
      </c>
      <c r="AR21" s="126">
        <f t="shared" si="23"/>
        <v>2007</v>
      </c>
      <c r="AS21" s="23">
        <f>SUM($AH$5:AH21)</f>
        <v>-19108.188677312977</v>
      </c>
      <c r="AT21" s="32">
        <f>INDEX('20 Year NonSmoker Mortality Exp'!$A$25:$U$45,MATCH('20 Year Non-Smoker W Inter'!AR21,'20 Year NonSmoker Mortality Exp'!$A$25:$A$45,0),MATCH('20 Year Non-Smoker W Inter'!$E$4,'20 Year NonSmoker Mortality Exp'!$A$25:$U$25,0))</f>
        <v>132</v>
      </c>
      <c r="AU21" s="32"/>
      <c r="AV21" s="23"/>
    </row>
    <row r="22" spans="1:48" x14ac:dyDescent="0.15">
      <c r="A22" t="s">
        <v>63</v>
      </c>
      <c r="B22" s="48">
        <v>2.52E-2</v>
      </c>
      <c r="C22" s="10"/>
      <c r="F22" s="3"/>
      <c r="G22" s="10"/>
      <c r="I22" s="14">
        <f t="shared" si="10"/>
        <v>62</v>
      </c>
      <c r="J22" s="3">
        <f t="shared" si="11"/>
        <v>18</v>
      </c>
      <c r="K22" s="13">
        <f t="shared" si="12"/>
        <v>1559.0436999999999</v>
      </c>
      <c r="L22" s="13">
        <f t="shared" si="19"/>
        <v>63.608982960000006</v>
      </c>
      <c r="M22" s="26">
        <v>50</v>
      </c>
      <c r="N22" s="13">
        <f t="shared" si="0"/>
        <v>500000</v>
      </c>
      <c r="O22" s="30">
        <v>0.1</v>
      </c>
      <c r="P22" s="39">
        <f t="shared" si="1"/>
        <v>50</v>
      </c>
      <c r="Q22" s="39">
        <f t="shared" si="2"/>
        <v>5</v>
      </c>
      <c r="R22" s="35"/>
      <c r="S22" s="43">
        <f>VLOOKUP(I22,'Mortality Table Latest'!$A$3:$E$123,4,FALSE)*1000*(1-$B$32)</f>
        <v>3.9863600000000003</v>
      </c>
      <c r="T22" s="33">
        <v>5.9179638399499933E-3</v>
      </c>
      <c r="U22" s="37">
        <f t="shared" si="20"/>
        <v>0.86341786836564793</v>
      </c>
      <c r="V22" s="37">
        <f t="shared" si="13"/>
        <v>3.4418944537380845E-3</v>
      </c>
      <c r="W22" s="37">
        <f t="shared" si="14"/>
        <v>5.1096757237546076E-3</v>
      </c>
      <c r="X22" s="36">
        <f t="shared" si="21"/>
        <v>0.85486629818815529</v>
      </c>
      <c r="Y22" s="35"/>
      <c r="Z22" s="6">
        <f t="shared" ref="Z22:AA24" si="27">AB21</f>
        <v>43.170893418282397</v>
      </c>
      <c r="AA22" s="6">
        <f t="shared" si="27"/>
        <v>4.3170893418282397</v>
      </c>
      <c r="AB22" s="6">
        <f t="shared" si="3"/>
        <v>42.743314909407765</v>
      </c>
      <c r="AC22" s="6">
        <f t="shared" si="4"/>
        <v>4.2743314909407761</v>
      </c>
      <c r="AE22" s="6">
        <f t="shared" si="5"/>
        <v>1332.773916532565</v>
      </c>
      <c r="AF22" s="6">
        <f t="shared" si="26"/>
        <v>-54.377175794528654</v>
      </c>
      <c r="AG22" s="6">
        <f t="shared" si="26"/>
        <v>-42.743314909407765</v>
      </c>
      <c r="AH22" s="6">
        <f t="shared" si="16"/>
        <v>-1720.9472268690422</v>
      </c>
      <c r="AI22" s="6">
        <f t="shared" si="24"/>
        <v>-485.29380104041365</v>
      </c>
      <c r="AJ22" s="6">
        <f t="shared" si="22"/>
        <v>0.42099371798590135</v>
      </c>
      <c r="AK22" s="6">
        <f t="shared" si="18"/>
        <v>39.378776287894958</v>
      </c>
      <c r="AL22" s="6">
        <f t="shared" si="25"/>
        <v>-445.49403103453284</v>
      </c>
      <c r="AM22" s="6">
        <f t="shared" si="8"/>
        <v>4.2757850887463533E-2</v>
      </c>
      <c r="AN22" s="6">
        <f t="shared" si="9"/>
        <v>-445.45127318364536</v>
      </c>
      <c r="AR22" s="126">
        <f t="shared" si="23"/>
        <v>2006</v>
      </c>
      <c r="AS22" s="23">
        <f>SUM($AH$5:AH22)</f>
        <v>-20829.135904182018</v>
      </c>
      <c r="AT22" s="32">
        <f>INDEX('20 Year NonSmoker Mortality Exp'!$A$25:$U$45,MATCH('20 Year Non-Smoker W Inter'!AR22,'20 Year NonSmoker Mortality Exp'!$A$25:$A$45,0),MATCH('20 Year Non-Smoker W Inter'!$E$4,'20 Year NonSmoker Mortality Exp'!$A$25:$U$25,0))</f>
        <v>131</v>
      </c>
      <c r="AU22" s="32"/>
      <c r="AV22" s="23"/>
    </row>
    <row r="23" spans="1:48" x14ac:dyDescent="0.15">
      <c r="B23" s="3"/>
      <c r="C23" s="10"/>
      <c r="F23" s="3"/>
      <c r="G23" s="10"/>
      <c r="I23" s="14">
        <f t="shared" si="10"/>
        <v>63</v>
      </c>
      <c r="J23" s="3">
        <f t="shared" si="11"/>
        <v>19</v>
      </c>
      <c r="K23" s="13">
        <f t="shared" si="12"/>
        <v>1559.0436999999999</v>
      </c>
      <c r="L23" s="13">
        <f t="shared" si="19"/>
        <v>63.608982960000006</v>
      </c>
      <c r="M23" s="26">
        <v>50</v>
      </c>
      <c r="N23" s="13">
        <f t="shared" si="0"/>
        <v>500000</v>
      </c>
      <c r="O23" s="30">
        <v>0.1</v>
      </c>
      <c r="P23" s="39">
        <f t="shared" si="1"/>
        <v>50</v>
      </c>
      <c r="Q23" s="39">
        <f t="shared" si="2"/>
        <v>5</v>
      </c>
      <c r="R23" s="35"/>
      <c r="S23" s="43">
        <f>VLOOKUP(I23,'Mortality Table Latest'!$A$3:$E$123,4,FALSE)*1000*(1-$B$32)</f>
        <v>4.3497600000000007</v>
      </c>
      <c r="T23" s="33">
        <v>5.8785501874757578E-3</v>
      </c>
      <c r="U23" s="37">
        <f t="shared" si="20"/>
        <v>0.85486629818815529</v>
      </c>
      <c r="V23" s="37">
        <f t="shared" si="13"/>
        <v>3.7184632292069112E-3</v>
      </c>
      <c r="W23" s="37">
        <f t="shared" si="14"/>
        <v>5.0253744374806871E-3</v>
      </c>
      <c r="X23" s="36">
        <f t="shared" si="21"/>
        <v>0.84612246052146767</v>
      </c>
      <c r="Y23" s="35"/>
      <c r="Z23" s="6">
        <f t="shared" si="27"/>
        <v>42.743314909407765</v>
      </c>
      <c r="AA23" s="6">
        <f t="shared" si="27"/>
        <v>4.2743314909407761</v>
      </c>
      <c r="AB23" s="6">
        <f t="shared" si="3"/>
        <v>42.306123026073386</v>
      </c>
      <c r="AC23" s="6">
        <f t="shared" si="4"/>
        <v>4.2306123026073381</v>
      </c>
      <c r="AE23" s="6">
        <f t="shared" si="5"/>
        <v>1319.1418915044928</v>
      </c>
      <c r="AF23" s="6">
        <f t="shared" si="26"/>
        <v>-53.820989173383317</v>
      </c>
      <c r="AG23" s="6">
        <f t="shared" si="26"/>
        <v>-42.306123026073386</v>
      </c>
      <c r="AH23" s="6">
        <f t="shared" si="16"/>
        <v>-1859.2316146034557</v>
      </c>
      <c r="AI23" s="6">
        <f t="shared" si="24"/>
        <v>-636.21683529841971</v>
      </c>
      <c r="AJ23" s="6">
        <f t="shared" si="22"/>
        <v>0.42757850887462784</v>
      </c>
      <c r="AK23" s="6">
        <f t="shared" si="18"/>
        <v>38.976454897324302</v>
      </c>
      <c r="AL23" s="6">
        <f t="shared" si="25"/>
        <v>-596.81280189222082</v>
      </c>
      <c r="AM23" s="6">
        <f t="shared" si="8"/>
        <v>4.3719188333438019E-2</v>
      </c>
      <c r="AN23" s="6">
        <f t="shared" si="9"/>
        <v>-596.76908270388742</v>
      </c>
      <c r="AR23" s="126">
        <f>AR22-1</f>
        <v>2005</v>
      </c>
      <c r="AS23" s="23">
        <f>SUM($AH$5:AH23)</f>
        <v>-22688.367518785475</v>
      </c>
      <c r="AT23" s="32">
        <f>INDEX('20 Year NonSmoker Mortality Exp'!$A$25:$U$45,MATCH('20 Year Non-Smoker W Inter'!AR23,'20 Year NonSmoker Mortality Exp'!$A$25:$A$45,0),MATCH('20 Year Non-Smoker W Inter'!$E$4,'20 Year NonSmoker Mortality Exp'!$A$25:$U$25,0))</f>
        <v>118</v>
      </c>
      <c r="AU23" s="32"/>
      <c r="AV23" s="23"/>
    </row>
    <row r="24" spans="1:48" x14ac:dyDescent="0.15">
      <c r="B24" s="3"/>
      <c r="C24" s="10"/>
      <c r="F24" s="3"/>
      <c r="G24" s="10"/>
      <c r="I24" s="14">
        <f t="shared" si="10"/>
        <v>64</v>
      </c>
      <c r="J24" s="3">
        <f t="shared" si="11"/>
        <v>20</v>
      </c>
      <c r="K24" s="13">
        <f t="shared" si="12"/>
        <v>1559.0436999999999</v>
      </c>
      <c r="L24" s="13">
        <f t="shared" si="19"/>
        <v>63.608982960000006</v>
      </c>
      <c r="M24" s="26">
        <v>50</v>
      </c>
      <c r="N24" s="13">
        <f t="shared" si="0"/>
        <v>500000</v>
      </c>
      <c r="O24" s="30">
        <v>0.1</v>
      </c>
      <c r="P24" s="39">
        <f t="shared" si="1"/>
        <v>50</v>
      </c>
      <c r="Q24" s="39">
        <f t="shared" si="2"/>
        <v>5</v>
      </c>
      <c r="R24" s="35"/>
      <c r="S24" s="43">
        <f>VLOOKUP(I24,'Mortality Table Latest'!$A$3:$E$123,4,FALSE)*1000*(1-$B$32)</f>
        <v>4.7536399999999999</v>
      </c>
      <c r="T24" s="33">
        <v>0.58662149964898991</v>
      </c>
      <c r="U24" s="37">
        <f t="shared" si="20"/>
        <v>0.84612246052146767</v>
      </c>
      <c r="V24" s="37">
        <f t="shared" si="13"/>
        <v>4.0221615732332697E-3</v>
      </c>
      <c r="W24" s="37">
        <f t="shared" si="14"/>
        <v>0.49635362667779664</v>
      </c>
      <c r="X24" s="36">
        <f t="shared" si="21"/>
        <v>0.34574667227043776</v>
      </c>
      <c r="Y24" s="35"/>
      <c r="Z24" s="6">
        <f t="shared" si="27"/>
        <v>42.306123026073386</v>
      </c>
      <c r="AA24" s="6">
        <f t="shared" si="27"/>
        <v>4.2306123026073381</v>
      </c>
      <c r="AB24" s="6">
        <f t="shared" si="3"/>
        <v>17.287333613521888</v>
      </c>
      <c r="AC24" s="6">
        <f t="shared" si="4"/>
        <v>1.7287333613521887</v>
      </c>
      <c r="AE24" s="6">
        <f t="shared" si="5"/>
        <v>539.03417119919072</v>
      </c>
      <c r="AF24" s="6">
        <f t="shared" si="26"/>
        <v>-21.992594184926983</v>
      </c>
      <c r="AG24" s="6">
        <f t="shared" si="26"/>
        <v>-17.287333613521888</v>
      </c>
      <c r="AH24" s="6">
        <f>-V24*N24</f>
        <v>-2011.0807866166349</v>
      </c>
      <c r="AI24" s="6">
        <f t="shared" si="24"/>
        <v>-1511.326543215893</v>
      </c>
      <c r="AJ24" s="6">
        <f t="shared" si="22"/>
        <v>0.4371918833343813</v>
      </c>
      <c r="AK24" s="6">
        <f t="shared" si="18"/>
        <v>16.738275876585451</v>
      </c>
      <c r="AL24" s="6">
        <f t="shared" si="25"/>
        <v>-1494.1510754559731</v>
      </c>
      <c r="AM24" s="6">
        <f t="shared" si="8"/>
        <v>2.5018789412551494</v>
      </c>
      <c r="AN24" s="6">
        <f t="shared" si="9"/>
        <v>-1491.6491965147179</v>
      </c>
      <c r="AR24" s="128">
        <v>2004</v>
      </c>
      <c r="AS24" s="23">
        <f>SUM($AH$5:AH24)</f>
        <v>-24699.448305402111</v>
      </c>
      <c r="AT24" s="32">
        <f>INDEX('20 Year NonSmoker Mortality Exp'!$A$25:$U$45,MATCH('20 Year Non-Smoker W Inter'!AR24,'20 Year NonSmoker Mortality Exp'!$A$25:$A$45,0),MATCH('20 Year Non-Smoker W Inter'!$E$4,'20 Year NonSmoker Mortality Exp'!$A$25:$U$25,0))</f>
        <v>111</v>
      </c>
      <c r="AU24" s="32"/>
      <c r="AV24" s="23"/>
    </row>
    <row r="25" spans="1:48" x14ac:dyDescent="0.15">
      <c r="B25" s="56" t="s">
        <v>65</v>
      </c>
      <c r="C25" s="46">
        <f>AP4</f>
        <v>3358.7407008859914</v>
      </c>
      <c r="F25" s="3"/>
      <c r="G25" s="10"/>
      <c r="J25" s="3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6"/>
      <c r="AA25" s="6"/>
      <c r="AB25" s="6"/>
      <c r="AC25" s="6"/>
      <c r="AR25" s="126"/>
      <c r="AS25" s="23"/>
      <c r="AT25" s="32"/>
      <c r="AU25" s="32"/>
      <c r="AV25" s="23"/>
    </row>
    <row r="26" spans="1:48" x14ac:dyDescent="0.15">
      <c r="B26" s="3" t="s">
        <v>66</v>
      </c>
      <c r="C26" s="10">
        <f>H3*1.2</f>
        <v>1870.8524399999999</v>
      </c>
      <c r="F26" s="3"/>
      <c r="G26" s="10"/>
      <c r="J26" s="3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6"/>
      <c r="AA26" s="6"/>
      <c r="AB26" s="6"/>
      <c r="AC26" s="6"/>
      <c r="AR26" s="126"/>
      <c r="AS26" s="23"/>
      <c r="AT26" s="32"/>
      <c r="AU26" s="32"/>
      <c r="AV26" s="23"/>
    </row>
    <row r="27" spans="1:48" x14ac:dyDescent="0.15">
      <c r="B27" s="3"/>
      <c r="C27" s="10"/>
      <c r="F27" s="3"/>
      <c r="G27" s="10"/>
      <c r="J27" s="3"/>
      <c r="AS27" s="32"/>
      <c r="AT27" s="32"/>
      <c r="AU27" s="32"/>
      <c r="AV27" s="23"/>
    </row>
    <row r="28" spans="1:48" x14ac:dyDescent="0.15">
      <c r="B28" s="3"/>
      <c r="C28" s="10"/>
      <c r="F28" s="3"/>
      <c r="G28" s="10"/>
      <c r="AD28" s="44" t="s">
        <v>67</v>
      </c>
      <c r="AE28" s="13">
        <f>SUM(AE4:AE24)</f>
        <v>29346.024471564171</v>
      </c>
      <c r="AF28" s="13">
        <f t="shared" ref="AF28:AN28" si="28">SUM(AF4:AF24)</f>
        <v>-1523.7912791155584</v>
      </c>
      <c r="AG28" s="13">
        <f t="shared" si="28"/>
        <v>-1177.0590172868006</v>
      </c>
      <c r="AH28" s="13">
        <f t="shared" si="28"/>
        <v>-24699.448305402111</v>
      </c>
      <c r="AI28" s="13">
        <f t="shared" si="28"/>
        <v>1945.7258697596956</v>
      </c>
      <c r="AJ28" s="13">
        <f>SUM(AJ4:AJ24)</f>
        <v>-42.306123026073358</v>
      </c>
      <c r="AK28" s="13">
        <f t="shared" si="28"/>
        <v>862.52673921098506</v>
      </c>
      <c r="AL28" s="13">
        <f t="shared" si="28"/>
        <v>2765.9464859446061</v>
      </c>
      <c r="AM28" s="13">
        <f t="shared" si="28"/>
        <v>-1.7287333613521887</v>
      </c>
      <c r="AN28" s="13">
        <f t="shared" si="28"/>
        <v>2764.2177525832549</v>
      </c>
      <c r="AS28" s="94"/>
      <c r="AT28" s="94">
        <f>SUMPRODUCT(AS5:AS24,AT5:AT24)</f>
        <v>-33022758.187893402</v>
      </c>
    </row>
    <row r="29" spans="1:48" x14ac:dyDescent="0.15">
      <c r="B29" s="3"/>
      <c r="C29" s="10"/>
      <c r="F29" s="3"/>
      <c r="G29" s="10"/>
    </row>
    <row r="30" spans="1:48" ht="42" x14ac:dyDescent="0.15">
      <c r="A30" s="55" t="s">
        <v>128</v>
      </c>
      <c r="B30" s="56" t="s">
        <v>80</v>
      </c>
      <c r="C30" s="57" t="s">
        <v>81</v>
      </c>
      <c r="F30" s="3"/>
      <c r="G30" s="10"/>
    </row>
    <row r="31" spans="1:48" ht="28" x14ac:dyDescent="0.15">
      <c r="A31" s="55" t="s">
        <v>82</v>
      </c>
      <c r="B31" s="3">
        <v>30</v>
      </c>
      <c r="C31" s="57" t="s">
        <v>129</v>
      </c>
      <c r="F31" s="3"/>
      <c r="G31" s="10"/>
      <c r="H31" s="51"/>
      <c r="AD31" s="51" t="s">
        <v>69</v>
      </c>
      <c r="AE31" s="45">
        <f>AE4+NPV(5.5%,AE5:AE24)</f>
        <v>18620.864131133094</v>
      </c>
      <c r="AF31" s="45">
        <f t="shared" ref="AF31:AN31" si="29">AF4+NPV(5.5%,AF5:AF24)</f>
        <v>-1089.0814414341551</v>
      </c>
      <c r="AG31" s="45">
        <f t="shared" si="29"/>
        <v>-833.09302260586014</v>
      </c>
      <c r="AH31" s="45">
        <f t="shared" si="29"/>
        <v>-13772.922169385596</v>
      </c>
      <c r="AI31" s="45">
        <f t="shared" si="29"/>
        <v>2925.7674977074839</v>
      </c>
      <c r="AJ31" s="45">
        <f t="shared" si="29"/>
        <v>-104.70155915695966</v>
      </c>
      <c r="AK31" s="45">
        <f t="shared" si="29"/>
        <v>537.67476233546756</v>
      </c>
      <c r="AL31" s="45">
        <f t="shared" si="29"/>
        <v>3358.7407008859914</v>
      </c>
      <c r="AM31" s="45">
        <f t="shared" si="29"/>
        <v>-3.6749048171949048</v>
      </c>
      <c r="AN31" s="45">
        <f t="shared" si="29"/>
        <v>3355.0657960687963</v>
      </c>
    </row>
    <row r="32" spans="1:48" ht="28" x14ac:dyDescent="0.15">
      <c r="A32" s="55" t="s">
        <v>130</v>
      </c>
      <c r="B32" s="58">
        <v>0.08</v>
      </c>
      <c r="C32" s="57" t="s">
        <v>60</v>
      </c>
      <c r="F32" s="3"/>
      <c r="G32" s="10"/>
      <c r="H32" s="51"/>
      <c r="I32" s="51"/>
      <c r="AD32" s="51" t="s">
        <v>70</v>
      </c>
      <c r="AE32" s="45">
        <f>AE4+NPV(12%,AE5:AE24)</f>
        <v>12471.072840973375</v>
      </c>
      <c r="AF32" s="45">
        <f t="shared" ref="AF32:AN32" si="30">AF4+NPV(12%,AF5:AF24)</f>
        <v>-841.20544013219614</v>
      </c>
      <c r="AG32" s="45">
        <f t="shared" si="30"/>
        <v>-635.86342313537307</v>
      </c>
      <c r="AH32" s="45">
        <f t="shared" si="30"/>
        <v>-8051.5650082625771</v>
      </c>
      <c r="AI32" s="45">
        <f t="shared" si="30"/>
        <v>2942.4389694432257</v>
      </c>
      <c r="AJ32" s="45">
        <f t="shared" si="30"/>
        <v>-151.68298898893042</v>
      </c>
      <c r="AK32" s="45">
        <f t="shared" si="30"/>
        <v>349.62580595918632</v>
      </c>
      <c r="AL32" s="45">
        <f t="shared" si="30"/>
        <v>3140.3817864134821</v>
      </c>
      <c r="AM32" s="45">
        <f t="shared" si="30"/>
        <v>-4.4452864579311839</v>
      </c>
      <c r="AN32" s="45">
        <f t="shared" si="30"/>
        <v>3135.936499955551</v>
      </c>
    </row>
    <row r="33" spans="1:8" ht="28" x14ac:dyDescent="0.15">
      <c r="A33" s="55" t="s">
        <v>131</v>
      </c>
      <c r="B33" s="3">
        <v>1</v>
      </c>
      <c r="C33" s="10"/>
      <c r="F33" s="3"/>
      <c r="G33" s="10"/>
      <c r="H33" s="51"/>
    </row>
    <row r="34" spans="1:8" x14ac:dyDescent="0.15">
      <c r="B34" s="3"/>
      <c r="C34" s="10"/>
      <c r="F34" s="3"/>
      <c r="G34" s="10"/>
      <c r="H34" s="51"/>
    </row>
    <row r="35" spans="1:8" ht="14" x14ac:dyDescent="0.15">
      <c r="A35" s="55" t="s">
        <v>132</v>
      </c>
      <c r="B35" s="171">
        <f>O82</f>
        <v>7.6164176528447633E-2</v>
      </c>
      <c r="C35" s="10"/>
      <c r="F35" s="3"/>
      <c r="G35" s="10"/>
      <c r="H35" s="51"/>
    </row>
    <row r="36" spans="1:8" x14ac:dyDescent="0.15">
      <c r="B36" s="3"/>
      <c r="C36" s="10"/>
      <c r="F36" s="3"/>
      <c r="G36" s="10"/>
      <c r="H36" s="51"/>
    </row>
    <row r="37" spans="1:8" x14ac:dyDescent="0.15">
      <c r="B37" s="3"/>
      <c r="C37" s="10"/>
      <c r="F37" s="3"/>
      <c r="G37" s="10"/>
      <c r="H37" s="51"/>
    </row>
    <row r="38" spans="1:8" x14ac:dyDescent="0.15">
      <c r="B38" s="3"/>
      <c r="C38" s="10"/>
      <c r="F38" s="3"/>
      <c r="G38" s="10"/>
      <c r="H38" s="51"/>
    </row>
    <row r="39" spans="1:8" x14ac:dyDescent="0.15">
      <c r="B39" s="3"/>
      <c r="C39" s="10"/>
      <c r="F39" s="3"/>
      <c r="G39" s="10"/>
    </row>
    <row r="40" spans="1:8" x14ac:dyDescent="0.15">
      <c r="B40" s="3"/>
      <c r="C40" s="10"/>
      <c r="F40" s="3"/>
      <c r="G40" s="10"/>
    </row>
    <row r="41" spans="1:8" x14ac:dyDescent="0.15">
      <c r="B41" s="3"/>
      <c r="C41" s="10"/>
      <c r="F41" s="3"/>
      <c r="G41" s="10"/>
    </row>
    <row r="42" spans="1:8" x14ac:dyDescent="0.15">
      <c r="B42" s="3"/>
      <c r="C42" s="10"/>
      <c r="F42" s="3"/>
      <c r="G42" s="10"/>
    </row>
    <row r="43" spans="1:8" x14ac:dyDescent="0.15">
      <c r="B43" s="3"/>
      <c r="C43" s="10"/>
      <c r="F43" s="3"/>
      <c r="G43" s="10"/>
    </row>
    <row r="44" spans="1:8" x14ac:dyDescent="0.15">
      <c r="B44" s="3"/>
      <c r="C44" s="10"/>
      <c r="F44" s="3"/>
      <c r="G44" s="10"/>
    </row>
    <row r="45" spans="1:8" x14ac:dyDescent="0.15">
      <c r="B45" s="3"/>
      <c r="C45" s="10"/>
      <c r="F45" s="3"/>
      <c r="G45" s="10"/>
    </row>
    <row r="46" spans="1:8" x14ac:dyDescent="0.15">
      <c r="B46" s="3"/>
      <c r="C46" s="10"/>
      <c r="F46" s="3"/>
      <c r="G46" s="10"/>
    </row>
    <row r="56" spans="6:27" ht="64" customHeight="1" x14ac:dyDescent="0.15">
      <c r="F56" s="69" t="s">
        <v>71</v>
      </c>
      <c r="G56" s="69" t="s">
        <v>72</v>
      </c>
      <c r="H56" s="106" t="s">
        <v>73</v>
      </c>
      <c r="I56" s="106" t="s">
        <v>74</v>
      </c>
      <c r="J56" s="106" t="s">
        <v>75</v>
      </c>
      <c r="K56" s="106" t="s">
        <v>76</v>
      </c>
      <c r="L56" s="67" t="s">
        <v>77</v>
      </c>
      <c r="M56" s="67" t="s">
        <v>78</v>
      </c>
      <c r="N56" s="67" t="s">
        <v>125</v>
      </c>
      <c r="O56" s="67" t="s">
        <v>90</v>
      </c>
      <c r="P56" s="114" t="s">
        <v>133</v>
      </c>
      <c r="Q56" s="114" t="s">
        <v>134</v>
      </c>
      <c r="R56" s="114" t="s">
        <v>135</v>
      </c>
      <c r="S56" s="114" t="s">
        <v>94</v>
      </c>
      <c r="T56" s="114" t="s">
        <v>95</v>
      </c>
      <c r="U56" s="114" t="s">
        <v>96</v>
      </c>
      <c r="V56" s="114"/>
      <c r="Z56" s="55" t="s">
        <v>136</v>
      </c>
      <c r="AA56" s="55" t="s">
        <v>137</v>
      </c>
    </row>
    <row r="57" spans="6:27" ht="16" x14ac:dyDescent="0.2">
      <c r="F57" s="69">
        <v>26</v>
      </c>
      <c r="G57" s="63">
        <v>1978</v>
      </c>
      <c r="H57" s="88">
        <v>500000</v>
      </c>
      <c r="I57" s="108"/>
      <c r="J57" s="108"/>
      <c r="K57" s="182"/>
      <c r="L57" s="178">
        <v>455.0549644977657</v>
      </c>
      <c r="M57" s="111">
        <f>1.2*L57</f>
        <v>546.06595739731881</v>
      </c>
      <c r="N57" s="112">
        <v>1055.95</v>
      </c>
      <c r="O57" s="93">
        <v>1391.05</v>
      </c>
      <c r="P57" s="186">
        <f>M57*(1-$O$79)</f>
        <v>529.6839786753992</v>
      </c>
      <c r="Q57" s="187">
        <v>1200.9000000000001</v>
      </c>
      <c r="R57" s="188">
        <f>Q57-N57</f>
        <v>144.95000000000005</v>
      </c>
      <c r="S57" s="13">
        <v>-13388293.119999999</v>
      </c>
      <c r="T57" s="88">
        <v>18500000</v>
      </c>
      <c r="U57" s="104">
        <f>T57+S57</f>
        <v>5111706.8800000008</v>
      </c>
      <c r="V57" s="163">
        <f>U57/T57</f>
        <v>0.27630848000000002</v>
      </c>
      <c r="W57" s="117"/>
      <c r="X57" s="129">
        <v>-58930031</v>
      </c>
      <c r="Z57" s="170">
        <v>6.3100000000000003E-2</v>
      </c>
      <c r="AA57" s="90">
        <v>1644.59</v>
      </c>
    </row>
    <row r="58" spans="6:27" ht="16" x14ac:dyDescent="0.2">
      <c r="F58" s="69">
        <v>27</v>
      </c>
      <c r="G58" s="180">
        <v>17167</v>
      </c>
      <c r="H58" s="88">
        <v>500000</v>
      </c>
      <c r="K58" s="183"/>
      <c r="L58" s="178">
        <v>482.18091778803284</v>
      </c>
      <c r="M58" s="111">
        <f t="shared" ref="M58:M76" si="31">1.2*L58</f>
        <v>578.61710134563941</v>
      </c>
      <c r="N58" s="112">
        <v>1118.54</v>
      </c>
      <c r="O58" s="93">
        <v>1478.65</v>
      </c>
      <c r="P58" s="186">
        <f>M58*(1-$O$79)</f>
        <v>561.25858830527022</v>
      </c>
      <c r="Q58" s="187">
        <v>1277.23</v>
      </c>
      <c r="R58" s="188">
        <f t="shared" ref="R58:R76" si="32">Q58-N58</f>
        <v>158.69000000000005</v>
      </c>
      <c r="S58" s="165">
        <v>-13713591.51</v>
      </c>
      <c r="T58" s="88">
        <v>22500000</v>
      </c>
      <c r="U58" s="75">
        <f t="shared" ref="U58:U76" si="33">T58+S58</f>
        <v>8786408.4900000002</v>
      </c>
      <c r="V58" s="163">
        <f t="shared" ref="V58:V76" si="34">U58/T58</f>
        <v>0.39050704400000003</v>
      </c>
      <c r="W58" s="117"/>
      <c r="X58" s="118">
        <v>-59895378.460000001</v>
      </c>
      <c r="Z58" s="170">
        <v>5.8599999999999999E-2</v>
      </c>
      <c r="AA58" s="90">
        <v>1767.47</v>
      </c>
    </row>
    <row r="59" spans="6:27" ht="16" x14ac:dyDescent="0.2">
      <c r="F59" s="69">
        <v>28</v>
      </c>
      <c r="G59" s="180">
        <v>17482</v>
      </c>
      <c r="H59" s="88">
        <v>500000</v>
      </c>
      <c r="K59" s="183"/>
      <c r="L59" s="178">
        <v>512.7615039364415</v>
      </c>
      <c r="M59" s="111">
        <f t="shared" si="31"/>
        <v>615.31380472372973</v>
      </c>
      <c r="N59" s="112">
        <v>1189.03</v>
      </c>
      <c r="O59" s="93">
        <v>1577.33</v>
      </c>
      <c r="P59" s="186">
        <f>M59*(1-$O$79)</f>
        <v>596.8543905820178</v>
      </c>
      <c r="Q59" s="187">
        <v>1363.2</v>
      </c>
      <c r="R59" s="188">
        <f t="shared" si="32"/>
        <v>174.17000000000007</v>
      </c>
      <c r="S59" s="165">
        <v>-14147280.58</v>
      </c>
      <c r="T59" s="88">
        <v>15000000</v>
      </c>
      <c r="U59" s="75">
        <f t="shared" si="33"/>
        <v>852719.41999999993</v>
      </c>
      <c r="V59" s="163">
        <f t="shared" si="34"/>
        <v>5.6847961333333329E-2</v>
      </c>
      <c r="W59" s="117"/>
      <c r="X59" s="130">
        <v>-66020272.530000001</v>
      </c>
      <c r="Z59" s="170">
        <v>5.7799999999999997E-2</v>
      </c>
      <c r="AA59" s="90">
        <v>1904.15</v>
      </c>
    </row>
    <row r="60" spans="6:27" ht="16" x14ac:dyDescent="0.2">
      <c r="F60" s="69">
        <v>29</v>
      </c>
      <c r="G60" s="180">
        <v>17457</v>
      </c>
      <c r="H60" s="88">
        <v>500000</v>
      </c>
      <c r="K60" s="183"/>
      <c r="L60" s="178">
        <v>547.09611948477732</v>
      </c>
      <c r="M60" s="111">
        <f t="shared" si="31"/>
        <v>656.51534338173281</v>
      </c>
      <c r="N60" s="112">
        <v>1268.0999999999999</v>
      </c>
      <c r="O60" s="93">
        <v>1688.01</v>
      </c>
      <c r="P60" s="186">
        <f>M60*(1-$O$79)</f>
        <v>636.81988308028076</v>
      </c>
      <c r="Q60" s="187">
        <v>1459.63</v>
      </c>
      <c r="R60" s="188">
        <f t="shared" si="32"/>
        <v>191.5300000000002</v>
      </c>
      <c r="S60" s="165">
        <v>-14674539.07</v>
      </c>
      <c r="T60" s="88">
        <v>19500000</v>
      </c>
      <c r="U60" s="75">
        <f t="shared" si="33"/>
        <v>4825460.93</v>
      </c>
      <c r="V60" s="163">
        <f t="shared" si="34"/>
        <v>0.24745953487179487</v>
      </c>
      <c r="W60" s="117"/>
      <c r="X60" s="130">
        <v>-69925285.239999995</v>
      </c>
      <c r="Z60" s="170">
        <v>5.6099999999999997E-2</v>
      </c>
      <c r="AA60" s="90">
        <v>2055.25</v>
      </c>
    </row>
    <row r="61" spans="6:27" ht="16" x14ac:dyDescent="0.2">
      <c r="F61" s="69">
        <v>30</v>
      </c>
      <c r="G61" s="180">
        <v>17742</v>
      </c>
      <c r="H61" s="88">
        <v>500000</v>
      </c>
      <c r="K61" s="183"/>
      <c r="L61" s="178">
        <v>585.48766078668734</v>
      </c>
      <c r="M61" s="111">
        <f t="shared" si="31"/>
        <v>702.58519294402481</v>
      </c>
      <c r="N61" s="112">
        <v>1356.43</v>
      </c>
      <c r="O61" s="93">
        <v>1811.65</v>
      </c>
      <c r="P61" s="186">
        <f>M61*(1-$O$79)</f>
        <v>681.50763715570406</v>
      </c>
      <c r="Q61" s="187">
        <v>1567.36</v>
      </c>
      <c r="R61" s="188">
        <f t="shared" si="32"/>
        <v>210.92999999999984</v>
      </c>
      <c r="S61" s="165">
        <v>-15193379.810000001</v>
      </c>
      <c r="T61" s="88">
        <v>17500000</v>
      </c>
      <c r="U61" s="75">
        <f t="shared" si="33"/>
        <v>2306620.1899999995</v>
      </c>
      <c r="V61" s="163">
        <f t="shared" si="34"/>
        <v>0.13180686799999997</v>
      </c>
      <c r="W61" s="117"/>
      <c r="X61" s="130">
        <v>-76238414.840000004</v>
      </c>
      <c r="Z61" s="170">
        <v>5.4399999999999997E-2</v>
      </c>
      <c r="AA61" s="90">
        <v>2222.2399999999998</v>
      </c>
    </row>
    <row r="62" spans="6:27" ht="16" x14ac:dyDescent="0.2">
      <c r="F62" s="69">
        <v>31</v>
      </c>
      <c r="G62" s="180">
        <v>17935</v>
      </c>
      <c r="H62" s="88">
        <v>500000</v>
      </c>
      <c r="K62" s="183"/>
      <c r="L62" s="178">
        <v>627.98843278679715</v>
      </c>
      <c r="M62" s="111">
        <f t="shared" si="31"/>
        <v>753.5861193441566</v>
      </c>
      <c r="N62" s="112">
        <v>1454.11</v>
      </c>
      <c r="O62" s="93">
        <v>1948.37</v>
      </c>
      <c r="P62" s="186">
        <f>M62*(1-$O$80)</f>
        <v>715.90681337694878</v>
      </c>
      <c r="Q62" s="187">
        <v>1511.88</v>
      </c>
      <c r="R62" s="188">
        <f t="shared" si="32"/>
        <v>57.770000000000209</v>
      </c>
      <c r="S62" s="165">
        <v>-16041492.43</v>
      </c>
      <c r="T62" s="88">
        <v>19500000</v>
      </c>
      <c r="U62" s="75">
        <f t="shared" si="33"/>
        <v>3458507.5700000003</v>
      </c>
      <c r="V62" s="163">
        <f t="shared" si="34"/>
        <v>0.17735936256410259</v>
      </c>
      <c r="W62" s="117"/>
      <c r="X62" s="130">
        <v>-84776167</v>
      </c>
      <c r="Z62" s="170">
        <v>5.3800000000000001E-2</v>
      </c>
      <c r="AA62" s="90">
        <v>2261.5</v>
      </c>
    </row>
    <row r="63" spans="6:27" ht="16" x14ac:dyDescent="0.2">
      <c r="F63" s="69">
        <v>32</v>
      </c>
      <c r="G63" s="180">
        <v>17799</v>
      </c>
      <c r="H63" s="88">
        <v>500000</v>
      </c>
      <c r="K63" s="183"/>
      <c r="L63" s="178">
        <v>675.07109854950761</v>
      </c>
      <c r="M63" s="111">
        <f t="shared" si="31"/>
        <v>810.08531825940906</v>
      </c>
      <c r="N63" s="112">
        <v>1562.19</v>
      </c>
      <c r="O63" s="90">
        <v>2099.66</v>
      </c>
      <c r="P63" s="186">
        <f t="shared" ref="P63:P76" si="35">M63*(1-$O$80)</f>
        <v>769.58105234643858</v>
      </c>
      <c r="Q63" s="187">
        <v>1630.69</v>
      </c>
      <c r="R63" s="188">
        <f t="shared" si="32"/>
        <v>68.5</v>
      </c>
      <c r="S63" s="165">
        <v>-16769169.09</v>
      </c>
      <c r="T63" s="88">
        <v>22000000</v>
      </c>
      <c r="U63" s="75">
        <f t="shared" si="33"/>
        <v>5230830.91</v>
      </c>
      <c r="V63" s="163">
        <f t="shared" si="34"/>
        <v>0.23776504136363638</v>
      </c>
      <c r="W63" s="117"/>
      <c r="X63" s="130">
        <v>-90771155.739999995</v>
      </c>
      <c r="Z63" s="170">
        <v>5.1999999999999998E-2</v>
      </c>
      <c r="AA63" s="90">
        <v>2463.46</v>
      </c>
    </row>
    <row r="64" spans="6:27" ht="16" x14ac:dyDescent="0.2">
      <c r="F64" s="69">
        <v>33</v>
      </c>
      <c r="G64" s="180">
        <v>17869</v>
      </c>
      <c r="H64" s="88">
        <v>500000</v>
      </c>
      <c r="K64" s="183"/>
      <c r="L64" s="178">
        <v>712.7449666007542</v>
      </c>
      <c r="M64" s="111">
        <f t="shared" si="31"/>
        <v>855.29395992090497</v>
      </c>
      <c r="N64" s="112">
        <v>1648.32</v>
      </c>
      <c r="O64" s="93">
        <v>2220.39</v>
      </c>
      <c r="P64" s="186">
        <f t="shared" si="35"/>
        <v>812.52926192485972</v>
      </c>
      <c r="Q64" s="187">
        <v>1725.55</v>
      </c>
      <c r="R64" s="188">
        <f t="shared" si="32"/>
        <v>77.230000000000018</v>
      </c>
      <c r="S64" s="165">
        <v>-17509558.010000002</v>
      </c>
      <c r="T64" s="88">
        <v>21500000</v>
      </c>
      <c r="U64" s="75">
        <f t="shared" si="33"/>
        <v>3990441.9899999984</v>
      </c>
      <c r="V64" s="163">
        <f t="shared" si="34"/>
        <v>0.18560195302325574</v>
      </c>
      <c r="W64" s="117"/>
      <c r="X64" s="130">
        <v>-98258780.280000001</v>
      </c>
      <c r="Z64" s="170">
        <v>4.9500000000000002E-2</v>
      </c>
      <c r="AA64" s="90">
        <v>2517.34</v>
      </c>
    </row>
    <row r="65" spans="6:27" ht="16" x14ac:dyDescent="0.2">
      <c r="F65" s="69">
        <v>34</v>
      </c>
      <c r="G65" s="180">
        <v>18107</v>
      </c>
      <c r="H65" s="88">
        <v>500000</v>
      </c>
      <c r="K65" s="183"/>
      <c r="L65" s="178">
        <v>753.76325825576032</v>
      </c>
      <c r="M65" s="111">
        <f t="shared" si="31"/>
        <v>904.51590990691238</v>
      </c>
      <c r="N65" s="112">
        <v>1741.97</v>
      </c>
      <c r="O65" s="93">
        <v>2351.6799999999998</v>
      </c>
      <c r="P65" s="186">
        <f t="shared" si="35"/>
        <v>859.29011441156672</v>
      </c>
      <c r="Q65" s="187">
        <v>1828.7</v>
      </c>
      <c r="R65" s="188">
        <f t="shared" si="32"/>
        <v>86.730000000000018</v>
      </c>
      <c r="S65" s="165">
        <v>-18605808.440000001</v>
      </c>
      <c r="T65" s="88">
        <v>24000000</v>
      </c>
      <c r="U65" s="75">
        <f t="shared" si="33"/>
        <v>5394191.5599999987</v>
      </c>
      <c r="V65" s="163">
        <f t="shared" si="34"/>
        <v>0.22475798166666661</v>
      </c>
      <c r="W65" s="117"/>
      <c r="X65" s="130">
        <v>-107201005.61</v>
      </c>
      <c r="Z65" s="170">
        <v>4.8099999999999997E-2</v>
      </c>
      <c r="AA65" s="90">
        <v>2568.84</v>
      </c>
    </row>
    <row r="66" spans="6:27" ht="16" x14ac:dyDescent="0.2">
      <c r="F66" s="69">
        <v>35</v>
      </c>
      <c r="G66" s="180">
        <v>29883</v>
      </c>
      <c r="H66" s="88">
        <v>500000</v>
      </c>
      <c r="K66" s="183"/>
      <c r="L66" s="178">
        <v>798.62138114999038</v>
      </c>
      <c r="M66" s="111">
        <f t="shared" si="31"/>
        <v>958.34565737998844</v>
      </c>
      <c r="N66" s="112">
        <v>1844.27</v>
      </c>
      <c r="O66" s="93">
        <v>2495.11</v>
      </c>
      <c r="P66" s="186">
        <f t="shared" si="35"/>
        <v>910.42837451098899</v>
      </c>
      <c r="Q66" s="187">
        <v>1941.38</v>
      </c>
      <c r="R66" s="188">
        <f t="shared" si="32"/>
        <v>97.110000000000127</v>
      </c>
      <c r="S66" s="165">
        <v>-19730679.460000001</v>
      </c>
      <c r="T66" s="88">
        <v>24000000</v>
      </c>
      <c r="U66" s="75">
        <f t="shared" si="33"/>
        <v>4269320.5399999991</v>
      </c>
      <c r="V66" s="163">
        <f t="shared" si="34"/>
        <v>0.17788835583333329</v>
      </c>
      <c r="W66" s="117"/>
      <c r="X66" s="130">
        <v>-192305592.16999999</v>
      </c>
      <c r="Z66" s="170">
        <v>4.7500000000000001E-2</v>
      </c>
      <c r="AA66" s="90">
        <v>2618.52</v>
      </c>
    </row>
    <row r="67" spans="6:27" ht="16" x14ac:dyDescent="0.2">
      <c r="F67" s="69">
        <v>36</v>
      </c>
      <c r="G67" s="180">
        <v>30298</v>
      </c>
      <c r="H67" s="88">
        <v>500000</v>
      </c>
      <c r="K67" s="183"/>
      <c r="L67" s="178">
        <v>847.64989731595733</v>
      </c>
      <c r="M67" s="111">
        <f t="shared" si="31"/>
        <v>1017.1798767791488</v>
      </c>
      <c r="N67" s="112">
        <v>1955.96</v>
      </c>
      <c r="O67" s="93">
        <v>2651.69</v>
      </c>
      <c r="P67" s="186">
        <f t="shared" si="35"/>
        <v>966.32088294019127</v>
      </c>
      <c r="Q67" s="187">
        <v>2064.39</v>
      </c>
      <c r="R67" s="188">
        <f t="shared" si="32"/>
        <v>108.42999999999984</v>
      </c>
      <c r="S67" s="165">
        <v>-21833270.870000001</v>
      </c>
      <c r="T67" s="88">
        <v>26000000</v>
      </c>
      <c r="U67" s="75">
        <f t="shared" si="33"/>
        <v>4166729.129999999</v>
      </c>
      <c r="V67" s="163">
        <f t="shared" si="34"/>
        <v>0.16025881269230766</v>
      </c>
      <c r="W67" s="117"/>
      <c r="X67" s="130">
        <v>-210771941.65000001</v>
      </c>
      <c r="Z67" s="170">
        <v>4.9200000000000001E-2</v>
      </c>
      <c r="AA67" s="90">
        <v>2667.74</v>
      </c>
    </row>
    <row r="68" spans="6:27" ht="16" x14ac:dyDescent="0.2">
      <c r="F68" s="69">
        <v>37</v>
      </c>
      <c r="G68" s="180">
        <v>30249</v>
      </c>
      <c r="H68" s="88">
        <v>500000</v>
      </c>
      <c r="K68" s="183"/>
      <c r="L68" s="178">
        <v>892.40151644734078</v>
      </c>
      <c r="M68" s="111">
        <f t="shared" si="31"/>
        <v>1070.8818197368089</v>
      </c>
      <c r="N68" s="112">
        <v>2057.56</v>
      </c>
      <c r="O68" s="93">
        <v>2794.3</v>
      </c>
      <c r="P68" s="186">
        <f t="shared" si="35"/>
        <v>1017.3377287499684</v>
      </c>
      <c r="Q68" s="187">
        <v>2176.4499999999998</v>
      </c>
      <c r="R68" s="188">
        <f t="shared" si="32"/>
        <v>118.88999999999987</v>
      </c>
      <c r="S68" s="165">
        <v>-22636312.489999998</v>
      </c>
      <c r="T68" s="88">
        <v>23500000</v>
      </c>
      <c r="U68" s="75">
        <f t="shared" si="33"/>
        <v>863687.51000000164</v>
      </c>
      <c r="V68" s="163">
        <f t="shared" si="34"/>
        <v>3.6752660000000069E-2</v>
      </c>
      <c r="W68" s="117"/>
      <c r="X68" s="130">
        <v>-225425119.02000001</v>
      </c>
      <c r="Z68" s="170">
        <v>4.7899999999999998E-2</v>
      </c>
      <c r="AA68" s="90">
        <v>2618.6</v>
      </c>
    </row>
    <row r="69" spans="6:27" ht="16" x14ac:dyDescent="0.2">
      <c r="F69" s="69">
        <v>38</v>
      </c>
      <c r="G69" s="180">
        <v>30533</v>
      </c>
      <c r="H69" s="88">
        <v>500000</v>
      </c>
      <c r="K69" s="183"/>
      <c r="L69" s="178">
        <v>939.682830436107</v>
      </c>
      <c r="M69" s="111">
        <f t="shared" si="31"/>
        <v>1127.6193965233283</v>
      </c>
      <c r="N69" s="112">
        <v>2164.77</v>
      </c>
      <c r="O69" s="93">
        <v>2944.78</v>
      </c>
      <c r="P69" s="186">
        <f t="shared" si="35"/>
        <v>1071.2384266971619</v>
      </c>
      <c r="Q69" s="187">
        <v>2294.69</v>
      </c>
      <c r="R69" s="188">
        <f t="shared" si="32"/>
        <v>129.92000000000007</v>
      </c>
      <c r="S69" s="165">
        <v>-23976328.760000002</v>
      </c>
      <c r="T69" s="88">
        <v>35500000</v>
      </c>
      <c r="U69" s="75">
        <f t="shared" si="33"/>
        <v>11523671.239999998</v>
      </c>
      <c r="V69" s="163">
        <f t="shared" si="34"/>
        <v>0.32461045746478867</v>
      </c>
      <c r="W69" s="117"/>
      <c r="X69" s="130">
        <v>-243097946.00999999</v>
      </c>
      <c r="Z69" s="170">
        <v>4.7399999999999998E-2</v>
      </c>
      <c r="AA69" s="90">
        <v>2756.66</v>
      </c>
    </row>
    <row r="70" spans="6:27" ht="16" x14ac:dyDescent="0.2">
      <c r="F70" s="69">
        <v>39</v>
      </c>
      <c r="G70" s="180">
        <v>30404</v>
      </c>
      <c r="H70" s="88">
        <v>500000</v>
      </c>
      <c r="K70" s="183"/>
      <c r="L70" s="178">
        <v>989.81949971827157</v>
      </c>
      <c r="M70" s="111">
        <f t="shared" si="31"/>
        <v>1187.7833996619258</v>
      </c>
      <c r="N70" s="112">
        <v>2278.34</v>
      </c>
      <c r="O70" s="93">
        <v>3104.17</v>
      </c>
      <c r="P70" s="186">
        <f t="shared" si="35"/>
        <v>1128.3942296788296</v>
      </c>
      <c r="Q70" s="187">
        <v>2419.9299999999998</v>
      </c>
      <c r="R70" s="188">
        <f t="shared" si="32"/>
        <v>141.58999999999969</v>
      </c>
      <c r="S70" s="165">
        <v>-25096556.48</v>
      </c>
      <c r="T70" s="88">
        <v>30000000</v>
      </c>
      <c r="U70" s="75">
        <f t="shared" si="33"/>
        <v>4903443.5199999996</v>
      </c>
      <c r="V70" s="163">
        <f t="shared" si="34"/>
        <v>0.16344811733333331</v>
      </c>
      <c r="W70" s="117"/>
      <c r="X70" s="130">
        <v>-262139348.06</v>
      </c>
      <c r="Z70" s="170">
        <v>4.5900000000000003E-2</v>
      </c>
      <c r="AA70" s="90">
        <v>2900.35</v>
      </c>
    </row>
    <row r="71" spans="6:27" ht="16" x14ac:dyDescent="0.2">
      <c r="F71" s="69">
        <v>40</v>
      </c>
      <c r="G71" s="180">
        <v>30607</v>
      </c>
      <c r="H71" s="88">
        <v>500000</v>
      </c>
      <c r="K71" s="183"/>
      <c r="L71" s="178">
        <v>1043.5768741524716</v>
      </c>
      <c r="M71" s="111">
        <f t="shared" si="31"/>
        <v>1252.2922489829659</v>
      </c>
      <c r="N71" s="112">
        <v>2399.98</v>
      </c>
      <c r="O71" s="93">
        <v>3274.87</v>
      </c>
      <c r="P71" s="186">
        <f t="shared" si="35"/>
        <v>1189.6776365338176</v>
      </c>
      <c r="Q71" s="187">
        <v>2554.0500000000002</v>
      </c>
      <c r="R71" s="188">
        <f t="shared" si="32"/>
        <v>154.07000000000016</v>
      </c>
      <c r="S71" s="165">
        <v>-26789103.039999999</v>
      </c>
      <c r="T71" s="88">
        <v>41500000</v>
      </c>
      <c r="U71" s="75">
        <f t="shared" si="33"/>
        <v>14710896.960000001</v>
      </c>
      <c r="V71" s="163">
        <f t="shared" si="34"/>
        <v>0.35447944481927712</v>
      </c>
      <c r="W71" s="117"/>
      <c r="X71" s="130">
        <v>-281251791.35000002</v>
      </c>
      <c r="Z71" s="170">
        <v>4.5400000000000003E-2</v>
      </c>
      <c r="AA71" s="90">
        <v>3052.12</v>
      </c>
    </row>
    <row r="72" spans="6:27" ht="16" x14ac:dyDescent="0.2">
      <c r="F72" s="69">
        <v>41</v>
      </c>
      <c r="G72" s="180">
        <v>30286</v>
      </c>
      <c r="H72" s="88">
        <v>500000</v>
      </c>
      <c r="K72" s="183"/>
      <c r="L72" s="178">
        <v>1100.7845803121857</v>
      </c>
      <c r="M72" s="111">
        <f t="shared" si="31"/>
        <v>1320.9414963746228</v>
      </c>
      <c r="N72" s="112">
        <v>2529.29</v>
      </c>
      <c r="O72" s="93">
        <v>3456.31</v>
      </c>
      <c r="P72" s="186">
        <f t="shared" si="35"/>
        <v>1254.8944215558915</v>
      </c>
      <c r="Q72" s="187">
        <v>2696.6</v>
      </c>
      <c r="R72" s="188">
        <f t="shared" si="32"/>
        <v>167.30999999999995</v>
      </c>
      <c r="S72" s="165">
        <v>-27349773.059999999</v>
      </c>
      <c r="T72" s="88">
        <v>30000000</v>
      </c>
      <c r="U72" s="75">
        <f t="shared" si="33"/>
        <v>2650226.9400000013</v>
      </c>
      <c r="V72" s="163">
        <f t="shared" si="34"/>
        <v>8.8340898000000043E-2</v>
      </c>
      <c r="W72" s="117"/>
      <c r="X72" s="130">
        <v>-298703162.39999998</v>
      </c>
      <c r="Z72" s="170">
        <v>4.5499999999999999E-2</v>
      </c>
      <c r="AA72" s="90">
        <v>3209.2</v>
      </c>
    </row>
    <row r="73" spans="6:27" ht="16" x14ac:dyDescent="0.2">
      <c r="F73" s="69">
        <v>42</v>
      </c>
      <c r="G73" s="180">
        <v>30498</v>
      </c>
      <c r="H73" s="88">
        <v>500000</v>
      </c>
      <c r="K73" s="183"/>
      <c r="L73" s="178">
        <v>1161.6693223471098</v>
      </c>
      <c r="M73" s="111">
        <f t="shared" si="31"/>
        <v>1394.0031868165318</v>
      </c>
      <c r="N73" s="112">
        <v>2666.76</v>
      </c>
      <c r="O73" s="93">
        <v>3649.14</v>
      </c>
      <c r="P73" s="186">
        <f t="shared" si="35"/>
        <v>1324.303027475705</v>
      </c>
      <c r="Q73" s="187">
        <v>2848.08</v>
      </c>
      <c r="R73" s="188">
        <f t="shared" si="32"/>
        <v>181.31999999999971</v>
      </c>
      <c r="S73" s="165">
        <v>-29324945.469999999</v>
      </c>
      <c r="T73" s="88">
        <v>27500000</v>
      </c>
      <c r="U73" s="75">
        <f t="shared" si="33"/>
        <v>-1824945.4699999988</v>
      </c>
      <c r="V73" s="163">
        <f t="shared" si="34"/>
        <v>-6.6361653454545408E-2</v>
      </c>
      <c r="W73" s="117"/>
      <c r="X73" s="130">
        <v>-329044131.32999998</v>
      </c>
      <c r="Z73" s="170">
        <v>4.5400000000000003E-2</v>
      </c>
      <c r="AA73" s="90">
        <v>3485.73</v>
      </c>
    </row>
    <row r="74" spans="6:27" ht="16" x14ac:dyDescent="0.2">
      <c r="F74" s="69">
        <v>43</v>
      </c>
      <c r="G74" s="180">
        <v>30762</v>
      </c>
      <c r="H74" s="88">
        <v>500000</v>
      </c>
      <c r="K74" s="183"/>
      <c r="L74" s="178">
        <v>1226.3119882527801</v>
      </c>
      <c r="M74" s="111">
        <f t="shared" si="31"/>
        <v>1471.5743859033362</v>
      </c>
      <c r="N74" s="112">
        <v>2812.54</v>
      </c>
      <c r="O74" s="70">
        <v>3853.59</v>
      </c>
      <c r="P74" s="186">
        <f t="shared" si="35"/>
        <v>1397.9956666081694</v>
      </c>
      <c r="Q74" s="187">
        <v>3008.67</v>
      </c>
      <c r="R74" s="188">
        <f t="shared" si="32"/>
        <v>196.13000000000011</v>
      </c>
      <c r="S74" s="166">
        <v>-30067866.52</v>
      </c>
      <c r="T74" s="88">
        <v>33000000</v>
      </c>
      <c r="U74" s="75">
        <f t="shared" si="33"/>
        <v>2932133.4800000004</v>
      </c>
      <c r="V74" s="163">
        <f t="shared" si="34"/>
        <v>8.8852529696969704E-2</v>
      </c>
      <c r="W74" s="125"/>
      <c r="X74" s="131">
        <v>-352086577.11000001</v>
      </c>
      <c r="Z74" s="170">
        <v>4.3900000000000002E-2</v>
      </c>
      <c r="AA74" s="90">
        <v>3784.84</v>
      </c>
    </row>
    <row r="75" spans="6:27" ht="16" x14ac:dyDescent="0.2">
      <c r="F75" s="69">
        <v>44</v>
      </c>
      <c r="G75" s="180">
        <v>30712</v>
      </c>
      <c r="H75" s="88">
        <v>500000</v>
      </c>
      <c r="K75" s="183"/>
      <c r="L75" s="178">
        <v>1294.8488881583705</v>
      </c>
      <c r="M75" s="111">
        <f t="shared" si="31"/>
        <v>1553.8186657900446</v>
      </c>
      <c r="N75" s="112">
        <v>2966.92</v>
      </c>
      <c r="O75" s="93">
        <v>4070.02</v>
      </c>
      <c r="P75" s="186">
        <f>M75*(1-$O$80)</f>
        <v>1476.1277325005424</v>
      </c>
      <c r="Q75" s="187">
        <v>3178.66</v>
      </c>
      <c r="R75" s="188">
        <f>Q75-N75</f>
        <v>211.73999999999978</v>
      </c>
      <c r="S75" s="165">
        <v>-31286232.07</v>
      </c>
      <c r="T75" s="88">
        <v>31000000</v>
      </c>
      <c r="U75" s="75">
        <f t="shared" si="33"/>
        <v>-286232.0700000003</v>
      </c>
      <c r="V75" s="72">
        <f t="shared" si="34"/>
        <v>-9.2332925806451714E-3</v>
      </c>
      <c r="W75" s="117"/>
      <c r="X75" s="130">
        <v>-384549726.99000001</v>
      </c>
      <c r="Z75" s="170">
        <v>4.4900000000000002E-2</v>
      </c>
      <c r="AA75" s="90">
        <v>4106.5600000000004</v>
      </c>
    </row>
    <row r="76" spans="6:27" ht="16" x14ac:dyDescent="0.2">
      <c r="F76" s="106">
        <v>45</v>
      </c>
      <c r="G76" s="181">
        <v>30610</v>
      </c>
      <c r="H76" s="88">
        <v>500000</v>
      </c>
      <c r="I76" s="184"/>
      <c r="J76" s="184"/>
      <c r="K76" s="185"/>
      <c r="L76" s="179">
        <v>1367.5821647858534</v>
      </c>
      <c r="M76" s="156">
        <f t="shared" si="31"/>
        <v>1641.0985977430239</v>
      </c>
      <c r="N76" s="112">
        <v>3130.56</v>
      </c>
      <c r="O76" s="107">
        <v>4299.33</v>
      </c>
      <c r="P76" s="186">
        <f t="shared" si="35"/>
        <v>1559.0436678558726</v>
      </c>
      <c r="Q76" s="187">
        <v>3358.74</v>
      </c>
      <c r="R76" s="188">
        <f t="shared" si="32"/>
        <v>228.17999999999984</v>
      </c>
      <c r="S76" s="165">
        <v>-33022758.190000001</v>
      </c>
      <c r="T76" s="88">
        <v>37500000</v>
      </c>
      <c r="U76" s="75">
        <f t="shared" si="33"/>
        <v>4477241.8099999987</v>
      </c>
      <c r="V76" s="163">
        <f t="shared" si="34"/>
        <v>0.11939311493333329</v>
      </c>
      <c r="W76" s="117"/>
      <c r="X76" s="130">
        <v>-414722423.76999998</v>
      </c>
      <c r="Z76" s="170">
        <v>4.36E-2</v>
      </c>
      <c r="AA76" s="90">
        <v>4448.43</v>
      </c>
    </row>
    <row r="77" spans="6:27" x14ac:dyDescent="0.15">
      <c r="F77" s="108"/>
      <c r="G77" s="108"/>
      <c r="L77" s="108"/>
      <c r="M77" s="108"/>
      <c r="N77" s="109">
        <f>SUMPRODUCT(N57:N76,Z57:Z76)</f>
        <v>1898.5480260000004</v>
      </c>
      <c r="O77" s="109"/>
      <c r="P77" s="121"/>
      <c r="Q77" s="122">
        <f>SUMPRODUCT(Q57:Q76,Z57:Z76)</f>
        <v>2043.1493730000002</v>
      </c>
      <c r="R77" s="122"/>
      <c r="U77" s="90"/>
    </row>
    <row r="78" spans="6:27" x14ac:dyDescent="0.15">
      <c r="N78" s="118" t="s">
        <v>132</v>
      </c>
      <c r="O78" s="75">
        <f>SUMPRODUCT(R57:R76,Z57:Z76)*100</f>
        <v>14460.134699999997</v>
      </c>
      <c r="P78" s="75"/>
      <c r="Q78" s="91"/>
      <c r="R78" s="91"/>
      <c r="T78" s="51" t="s">
        <v>138</v>
      </c>
      <c r="U78" s="90">
        <f>SUM(U57:U76)</f>
        <v>88343061.530000001</v>
      </c>
    </row>
    <row r="79" spans="6:27" x14ac:dyDescent="0.15">
      <c r="N79" s="118" t="s">
        <v>139</v>
      </c>
      <c r="O79" s="189">
        <v>0.03</v>
      </c>
      <c r="P79" s="190" t="s">
        <v>101</v>
      </c>
      <c r="Q79" s="91"/>
      <c r="R79" s="91"/>
      <c r="T79" s="51" t="s">
        <v>140</v>
      </c>
      <c r="U79" s="102">
        <f>U78/SUM(T57:T76)</f>
        <v>0.17005401641963427</v>
      </c>
    </row>
    <row r="80" spans="6:27" x14ac:dyDescent="0.15">
      <c r="N80" s="93"/>
      <c r="O80" s="189">
        <v>0.05</v>
      </c>
      <c r="P80" s="190" t="s">
        <v>141</v>
      </c>
      <c r="Q80" s="91"/>
      <c r="R80" s="91"/>
      <c r="U80" s="90"/>
    </row>
    <row r="81" spans="6:21" x14ac:dyDescent="0.15">
      <c r="N81" s="93"/>
      <c r="O81" s="74"/>
      <c r="P81" s="191"/>
      <c r="Q81" s="91"/>
      <c r="R81" s="91"/>
      <c r="U81" s="90"/>
    </row>
    <row r="82" spans="6:21" x14ac:dyDescent="0.15">
      <c r="N82" s="118" t="s">
        <v>142</v>
      </c>
      <c r="O82" s="72">
        <f>(Q77-N77)/N77</f>
        <v>7.6164176528447633E-2</v>
      </c>
      <c r="P82" s="192"/>
      <c r="Q82" s="91"/>
      <c r="R82" s="91"/>
      <c r="U82" s="90"/>
    </row>
    <row r="83" spans="6:21" x14ac:dyDescent="0.15">
      <c r="N83" s="90"/>
      <c r="O83" s="90"/>
      <c r="P83" s="123"/>
      <c r="Q83" s="91"/>
      <c r="R83" s="91"/>
      <c r="U83" s="90"/>
    </row>
    <row r="84" spans="6:21" x14ac:dyDescent="0.15">
      <c r="N84" s="90"/>
      <c r="O84" s="90"/>
      <c r="P84" s="123"/>
      <c r="Q84" s="91"/>
      <c r="R84" s="91"/>
      <c r="U84" s="90"/>
    </row>
    <row r="85" spans="6:21" x14ac:dyDescent="0.15">
      <c r="N85" s="90"/>
      <c r="O85" s="90"/>
      <c r="P85" s="123"/>
      <c r="Q85" s="91"/>
      <c r="R85" s="91"/>
      <c r="S85" s="45"/>
      <c r="U85" s="90"/>
    </row>
    <row r="86" spans="6:21" x14ac:dyDescent="0.15">
      <c r="N86" s="90"/>
      <c r="O86" s="90"/>
      <c r="P86" s="123"/>
      <c r="Q86" s="91"/>
      <c r="R86" s="91"/>
      <c r="S86" s="45"/>
      <c r="T86" s="98"/>
      <c r="U86" s="90"/>
    </row>
    <row r="87" spans="6:21" x14ac:dyDescent="0.15">
      <c r="O87" s="90"/>
      <c r="P87" s="124"/>
      <c r="Q87" s="91"/>
      <c r="R87" s="91"/>
      <c r="S87" s="45"/>
    </row>
    <row r="88" spans="6:21" x14ac:dyDescent="0.15">
      <c r="F88" s="51" t="s">
        <v>143</v>
      </c>
      <c r="O88" s="90"/>
      <c r="P88" s="124"/>
      <c r="Q88" s="91"/>
      <c r="R88" s="91"/>
      <c r="S88" s="45"/>
    </row>
    <row r="89" spans="6:21" x14ac:dyDescent="0.15">
      <c r="O89" s="90"/>
      <c r="P89" s="124"/>
      <c r="Q89" s="91"/>
      <c r="R89" s="91"/>
      <c r="S89" s="45"/>
    </row>
    <row r="90" spans="6:21" x14ac:dyDescent="0.15">
      <c r="O90" s="90"/>
      <c r="P90" s="124"/>
      <c r="Q90" s="91"/>
      <c r="R90" s="91"/>
      <c r="S90" s="45"/>
    </row>
    <row r="91" spans="6:21" x14ac:dyDescent="0.15">
      <c r="O91" s="90"/>
      <c r="P91" s="124"/>
      <c r="Q91" s="91"/>
      <c r="R91" s="91"/>
      <c r="S91" s="45"/>
    </row>
    <row r="92" spans="6:21" x14ac:dyDescent="0.15">
      <c r="O92" s="90"/>
      <c r="P92" s="124"/>
      <c r="Q92" s="91"/>
      <c r="R92" s="91"/>
      <c r="S92" s="45"/>
    </row>
    <row r="93" spans="6:21" x14ac:dyDescent="0.15">
      <c r="O93" s="90"/>
      <c r="P93" s="124"/>
      <c r="Q93" s="91"/>
      <c r="R93" s="91"/>
      <c r="S93" s="45"/>
    </row>
    <row r="94" spans="6:21" x14ac:dyDescent="0.15">
      <c r="O94" s="90"/>
      <c r="P94" s="124"/>
      <c r="Q94" s="91"/>
      <c r="R94" s="91"/>
      <c r="S94" s="45"/>
    </row>
    <row r="95" spans="6:21" x14ac:dyDescent="0.15">
      <c r="O95" s="90"/>
      <c r="P95" s="94"/>
      <c r="Q95" s="91"/>
      <c r="R95" s="91"/>
      <c r="S95" s="45"/>
    </row>
    <row r="96" spans="6:21" x14ac:dyDescent="0.15">
      <c r="O96" s="90"/>
      <c r="P96" s="94"/>
      <c r="Q96" s="91"/>
      <c r="R96" s="91"/>
      <c r="S96" s="45"/>
    </row>
    <row r="97" spans="12:19" x14ac:dyDescent="0.15">
      <c r="S97" s="45"/>
    </row>
    <row r="98" spans="12:19" x14ac:dyDescent="0.15">
      <c r="P98" s="91"/>
      <c r="S98" s="45"/>
    </row>
    <row r="99" spans="12:19" x14ac:dyDescent="0.15">
      <c r="L99" s="69"/>
      <c r="O99" s="94"/>
      <c r="S99" s="45"/>
    </row>
    <row r="100" spans="12:19" x14ac:dyDescent="0.15">
      <c r="S100" s="45"/>
    </row>
    <row r="101" spans="12:19" x14ac:dyDescent="0.15">
      <c r="S101" s="45"/>
    </row>
    <row r="102" spans="12:19" x14ac:dyDescent="0.15">
      <c r="S102" s="45"/>
    </row>
    <row r="103" spans="12:19" x14ac:dyDescent="0.15">
      <c r="S103" s="45"/>
    </row>
    <row r="104" spans="12:19" x14ac:dyDescent="0.15">
      <c r="S104" s="45"/>
    </row>
    <row r="112" spans="12:19" x14ac:dyDescent="0.15">
      <c r="S112" t="e">
        <v>#N/A</v>
      </c>
    </row>
    <row r="113" spans="19:19" x14ac:dyDescent="0.15">
      <c r="S113" t="e">
        <v>#N/A</v>
      </c>
    </row>
    <row r="114" spans="19:19" x14ac:dyDescent="0.15">
      <c r="S114" t="e">
        <v>#N/A</v>
      </c>
    </row>
    <row r="115" spans="19:19" x14ac:dyDescent="0.15">
      <c r="S115" t="e">
        <v>#N/A</v>
      </c>
    </row>
    <row r="116" spans="19:19" x14ac:dyDescent="0.15">
      <c r="S116" t="e">
        <v>#N/A</v>
      </c>
    </row>
    <row r="117" spans="19:19" x14ac:dyDescent="0.15">
      <c r="S117" t="e">
        <v>#N/A</v>
      </c>
    </row>
    <row r="118" spans="19:19" x14ac:dyDescent="0.15">
      <c r="S118" t="e">
        <v>#N/A</v>
      </c>
    </row>
    <row r="119" spans="19:19" x14ac:dyDescent="0.15">
      <c r="S119" t="e">
        <v>#N/A</v>
      </c>
    </row>
    <row r="120" spans="19:19" x14ac:dyDescent="0.15">
      <c r="S120" t="e">
        <v>#N/A</v>
      </c>
    </row>
    <row r="121" spans="19:19" x14ac:dyDescent="0.15">
      <c r="S121" t="e">
        <v>#N/A</v>
      </c>
    </row>
    <row r="122" spans="19:19" x14ac:dyDescent="0.15">
      <c r="S122" t="e">
        <v>#N/A</v>
      </c>
    </row>
    <row r="123" spans="19:19" x14ac:dyDescent="0.15">
      <c r="S123" t="e">
        <v>#N/A</v>
      </c>
    </row>
    <row r="124" spans="19:19" x14ac:dyDescent="0.15">
      <c r="S124" t="e">
        <v>#N/A</v>
      </c>
    </row>
    <row r="125" spans="19:19" x14ac:dyDescent="0.15">
      <c r="S125" t="e">
        <v>#N/A</v>
      </c>
    </row>
    <row r="126" spans="19:19" x14ac:dyDescent="0.15">
      <c r="S126" t="e">
        <v>#N/A</v>
      </c>
    </row>
    <row r="127" spans="19:19" x14ac:dyDescent="0.15">
      <c r="S127" t="e">
        <v>#N/A</v>
      </c>
    </row>
    <row r="128" spans="19:19" x14ac:dyDescent="0.15">
      <c r="S128" t="e">
        <v>#N/A</v>
      </c>
    </row>
    <row r="129" spans="19:19" x14ac:dyDescent="0.15">
      <c r="S129" t="e">
        <v>#N/A</v>
      </c>
    </row>
    <row r="130" spans="19:19" x14ac:dyDescent="0.15">
      <c r="S130" t="e">
        <v>#N/A</v>
      </c>
    </row>
    <row r="131" spans="19:19" x14ac:dyDescent="0.15">
      <c r="S131" t="e">
        <v>#N/A</v>
      </c>
    </row>
  </sheetData>
  <mergeCells count="3">
    <mergeCell ref="AE1:AN1"/>
    <mergeCell ref="S2:X2"/>
    <mergeCell ref="Z2:AC2"/>
  </mergeCells>
  <conditionalFormatting sqref="U57:U76">
    <cfRule type="cellIs" dxfId="0" priority="1" operator="lessThan">
      <formula>0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Automate_NPV_With_Reduce">
                <anchor moveWithCells="1" sizeWithCells="1">
                  <from>
                    <xdr:col>2</xdr:col>
                    <xdr:colOff>177800</xdr:colOff>
                    <xdr:row>32</xdr:row>
                    <xdr:rowOff>76200</xdr:rowOff>
                  </from>
                  <to>
                    <xdr:col>3</xdr:col>
                    <xdr:colOff>431800</xdr:colOff>
                    <xdr:row>33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E0143-5930-0946-8138-613A8082890E}">
  <sheetPr codeName="Sheet11"/>
  <dimension ref="A1:X45"/>
  <sheetViews>
    <sheetView workbookViewId="0">
      <selection activeCell="A25" sqref="A25"/>
    </sheetView>
  </sheetViews>
  <sheetFormatPr baseColWidth="10" defaultColWidth="11.5" defaultRowHeight="13" x14ac:dyDescent="0.15"/>
  <sheetData>
    <row r="1" spans="1:24" x14ac:dyDescent="0.15">
      <c r="A1" s="55"/>
      <c r="B1" s="51"/>
    </row>
    <row r="2" spans="1:24" x14ac:dyDescent="0.15">
      <c r="A2" t="s">
        <v>104</v>
      </c>
      <c r="B2">
        <v>2004</v>
      </c>
      <c r="C2">
        <v>2005</v>
      </c>
      <c r="D2">
        <v>2006</v>
      </c>
      <c r="E2">
        <v>2007</v>
      </c>
      <c r="F2">
        <v>2008</v>
      </c>
      <c r="G2">
        <v>2009</v>
      </c>
      <c r="H2">
        <v>2010</v>
      </c>
      <c r="I2">
        <v>2011</v>
      </c>
      <c r="J2">
        <v>2012</v>
      </c>
      <c r="K2">
        <v>2013</v>
      </c>
      <c r="L2">
        <v>2014</v>
      </c>
      <c r="M2">
        <v>2015</v>
      </c>
      <c r="N2">
        <v>2016</v>
      </c>
      <c r="O2">
        <v>2017</v>
      </c>
      <c r="P2">
        <v>2018</v>
      </c>
      <c r="Q2">
        <v>2019</v>
      </c>
      <c r="R2">
        <v>2020</v>
      </c>
      <c r="S2">
        <v>2021</v>
      </c>
      <c r="T2">
        <v>2022</v>
      </c>
      <c r="U2">
        <v>2023</v>
      </c>
      <c r="X2" t="s">
        <v>64</v>
      </c>
    </row>
    <row r="3" spans="1:24" x14ac:dyDescent="0.15">
      <c r="A3">
        <v>26</v>
      </c>
      <c r="B3">
        <v>158</v>
      </c>
      <c r="C3">
        <v>163</v>
      </c>
      <c r="D3">
        <v>180</v>
      </c>
      <c r="E3">
        <v>177</v>
      </c>
      <c r="F3">
        <v>198</v>
      </c>
      <c r="G3">
        <v>194</v>
      </c>
      <c r="H3">
        <v>209</v>
      </c>
      <c r="I3">
        <v>220</v>
      </c>
      <c r="J3">
        <v>228</v>
      </c>
      <c r="K3">
        <v>234</v>
      </c>
      <c r="L3">
        <v>244</v>
      </c>
      <c r="M3">
        <v>202</v>
      </c>
      <c r="N3">
        <v>259</v>
      </c>
      <c r="O3">
        <v>259</v>
      </c>
      <c r="P3">
        <v>268</v>
      </c>
      <c r="Q3">
        <v>290</v>
      </c>
      <c r="R3">
        <v>300</v>
      </c>
      <c r="S3">
        <v>288</v>
      </c>
      <c r="T3">
        <v>272</v>
      </c>
      <c r="U3">
        <v>271</v>
      </c>
      <c r="X3">
        <v>2005</v>
      </c>
    </row>
    <row r="4" spans="1:24" x14ac:dyDescent="0.15">
      <c r="A4">
        <v>27</v>
      </c>
      <c r="B4">
        <v>165</v>
      </c>
      <c r="C4">
        <v>142</v>
      </c>
      <c r="D4">
        <v>190</v>
      </c>
      <c r="E4">
        <v>170</v>
      </c>
      <c r="F4">
        <v>160</v>
      </c>
      <c r="G4">
        <v>181</v>
      </c>
      <c r="H4">
        <v>222</v>
      </c>
      <c r="I4">
        <v>241</v>
      </c>
      <c r="J4">
        <v>243</v>
      </c>
      <c r="K4">
        <v>237</v>
      </c>
      <c r="L4">
        <v>208</v>
      </c>
      <c r="M4">
        <v>204</v>
      </c>
      <c r="N4">
        <v>230</v>
      </c>
      <c r="O4">
        <v>209</v>
      </c>
      <c r="P4">
        <v>243</v>
      </c>
      <c r="Q4">
        <v>262</v>
      </c>
      <c r="R4">
        <v>288</v>
      </c>
      <c r="S4">
        <v>284</v>
      </c>
      <c r="T4">
        <v>231</v>
      </c>
      <c r="U4">
        <v>240</v>
      </c>
      <c r="X4">
        <v>2006</v>
      </c>
    </row>
    <row r="5" spans="1:24" x14ac:dyDescent="0.15">
      <c r="A5">
        <v>28</v>
      </c>
      <c r="B5">
        <v>155</v>
      </c>
      <c r="C5">
        <v>155</v>
      </c>
      <c r="D5">
        <v>165</v>
      </c>
      <c r="E5">
        <v>163</v>
      </c>
      <c r="F5">
        <v>167</v>
      </c>
      <c r="G5">
        <v>186</v>
      </c>
      <c r="H5">
        <v>206</v>
      </c>
      <c r="I5">
        <v>214</v>
      </c>
      <c r="J5">
        <v>224</v>
      </c>
      <c r="K5">
        <v>234</v>
      </c>
      <c r="L5">
        <v>213</v>
      </c>
      <c r="M5">
        <v>197</v>
      </c>
      <c r="N5">
        <v>220</v>
      </c>
      <c r="O5">
        <v>195</v>
      </c>
      <c r="P5">
        <v>253</v>
      </c>
      <c r="Q5">
        <v>256</v>
      </c>
      <c r="R5">
        <v>280</v>
      </c>
      <c r="S5">
        <v>265</v>
      </c>
      <c r="T5">
        <v>241</v>
      </c>
      <c r="U5">
        <v>254</v>
      </c>
      <c r="X5">
        <v>2007</v>
      </c>
    </row>
    <row r="6" spans="1:24" x14ac:dyDescent="0.15">
      <c r="A6">
        <v>29</v>
      </c>
      <c r="B6">
        <v>152</v>
      </c>
      <c r="C6">
        <v>134</v>
      </c>
      <c r="D6">
        <v>159</v>
      </c>
      <c r="E6">
        <v>162</v>
      </c>
      <c r="F6">
        <v>169</v>
      </c>
      <c r="G6">
        <v>183</v>
      </c>
      <c r="H6">
        <v>196</v>
      </c>
      <c r="I6">
        <v>191</v>
      </c>
      <c r="J6">
        <v>210</v>
      </c>
      <c r="K6">
        <v>210</v>
      </c>
      <c r="L6">
        <v>212</v>
      </c>
      <c r="M6">
        <v>220</v>
      </c>
      <c r="N6">
        <v>244</v>
      </c>
      <c r="O6">
        <v>217</v>
      </c>
      <c r="P6">
        <v>235</v>
      </c>
      <c r="Q6">
        <v>262</v>
      </c>
      <c r="R6">
        <v>263</v>
      </c>
      <c r="S6">
        <v>254</v>
      </c>
      <c r="T6">
        <v>229</v>
      </c>
      <c r="U6">
        <v>233</v>
      </c>
      <c r="X6">
        <v>2008</v>
      </c>
    </row>
    <row r="7" spans="1:24" x14ac:dyDescent="0.15">
      <c r="A7">
        <v>30</v>
      </c>
      <c r="B7">
        <v>127</v>
      </c>
      <c r="C7">
        <v>131</v>
      </c>
      <c r="D7">
        <v>174</v>
      </c>
      <c r="E7">
        <v>154</v>
      </c>
      <c r="F7">
        <v>158</v>
      </c>
      <c r="G7">
        <v>195</v>
      </c>
      <c r="H7">
        <v>196</v>
      </c>
      <c r="I7">
        <v>206</v>
      </c>
      <c r="J7">
        <v>199</v>
      </c>
      <c r="K7">
        <v>193</v>
      </c>
      <c r="L7">
        <v>192</v>
      </c>
      <c r="M7">
        <v>198</v>
      </c>
      <c r="N7">
        <v>216</v>
      </c>
      <c r="O7">
        <v>194</v>
      </c>
      <c r="P7">
        <v>226</v>
      </c>
      <c r="Q7">
        <v>249</v>
      </c>
      <c r="R7">
        <v>251</v>
      </c>
      <c r="S7">
        <v>232</v>
      </c>
      <c r="T7">
        <v>245</v>
      </c>
      <c r="U7">
        <v>242</v>
      </c>
      <c r="X7">
        <v>2009</v>
      </c>
    </row>
    <row r="8" spans="1:24" x14ac:dyDescent="0.15">
      <c r="A8">
        <v>31</v>
      </c>
      <c r="B8">
        <v>117</v>
      </c>
      <c r="C8">
        <v>133</v>
      </c>
      <c r="D8">
        <v>157</v>
      </c>
      <c r="E8">
        <v>155</v>
      </c>
      <c r="F8">
        <v>178</v>
      </c>
      <c r="G8">
        <v>165</v>
      </c>
      <c r="H8">
        <v>193</v>
      </c>
      <c r="I8">
        <v>206</v>
      </c>
      <c r="J8">
        <v>194</v>
      </c>
      <c r="K8">
        <v>193</v>
      </c>
      <c r="L8">
        <v>197</v>
      </c>
      <c r="M8">
        <v>204</v>
      </c>
      <c r="N8">
        <v>206</v>
      </c>
      <c r="O8">
        <v>221</v>
      </c>
      <c r="P8">
        <v>213</v>
      </c>
      <c r="Q8">
        <v>224</v>
      </c>
      <c r="R8">
        <v>254</v>
      </c>
      <c r="S8">
        <v>252</v>
      </c>
      <c r="T8">
        <v>220</v>
      </c>
      <c r="U8">
        <v>228</v>
      </c>
      <c r="X8">
        <v>2010</v>
      </c>
    </row>
    <row r="9" spans="1:24" x14ac:dyDescent="0.15">
      <c r="A9">
        <v>32</v>
      </c>
      <c r="B9">
        <v>110</v>
      </c>
      <c r="C9">
        <v>141</v>
      </c>
      <c r="D9">
        <v>161</v>
      </c>
      <c r="E9">
        <v>152</v>
      </c>
      <c r="F9">
        <v>155</v>
      </c>
      <c r="G9">
        <v>166</v>
      </c>
      <c r="H9">
        <v>181</v>
      </c>
      <c r="I9">
        <v>195</v>
      </c>
      <c r="J9">
        <v>176</v>
      </c>
      <c r="K9">
        <v>185</v>
      </c>
      <c r="L9">
        <v>206</v>
      </c>
      <c r="M9">
        <v>190</v>
      </c>
      <c r="N9">
        <v>200</v>
      </c>
      <c r="O9">
        <v>193</v>
      </c>
      <c r="P9">
        <v>219</v>
      </c>
      <c r="Q9">
        <v>236</v>
      </c>
      <c r="R9">
        <v>246</v>
      </c>
      <c r="S9">
        <v>242</v>
      </c>
      <c r="T9">
        <v>190</v>
      </c>
      <c r="U9">
        <v>224</v>
      </c>
      <c r="X9">
        <v>2011</v>
      </c>
    </row>
    <row r="10" spans="1:24" x14ac:dyDescent="0.15">
      <c r="A10">
        <v>33</v>
      </c>
      <c r="B10">
        <v>126</v>
      </c>
      <c r="C10">
        <v>113</v>
      </c>
      <c r="D10">
        <v>139</v>
      </c>
      <c r="E10">
        <v>158</v>
      </c>
      <c r="F10">
        <v>153</v>
      </c>
      <c r="G10">
        <v>160</v>
      </c>
      <c r="H10">
        <v>194</v>
      </c>
      <c r="I10">
        <v>179</v>
      </c>
      <c r="J10">
        <v>188</v>
      </c>
      <c r="K10">
        <v>193</v>
      </c>
      <c r="L10">
        <v>166</v>
      </c>
      <c r="M10">
        <v>165</v>
      </c>
      <c r="N10">
        <v>213</v>
      </c>
      <c r="O10">
        <v>196</v>
      </c>
      <c r="P10">
        <v>211</v>
      </c>
      <c r="Q10">
        <v>212</v>
      </c>
      <c r="R10">
        <v>231</v>
      </c>
      <c r="S10">
        <v>222</v>
      </c>
      <c r="T10">
        <v>220</v>
      </c>
      <c r="U10">
        <v>221</v>
      </c>
      <c r="X10">
        <v>2012</v>
      </c>
    </row>
    <row r="11" spans="1:24" x14ac:dyDescent="0.15">
      <c r="A11">
        <v>34</v>
      </c>
      <c r="B11">
        <v>118</v>
      </c>
      <c r="C11">
        <v>140</v>
      </c>
      <c r="D11">
        <v>127</v>
      </c>
      <c r="E11">
        <v>155</v>
      </c>
      <c r="F11">
        <v>145</v>
      </c>
      <c r="G11">
        <v>166</v>
      </c>
      <c r="H11">
        <v>176</v>
      </c>
      <c r="I11">
        <v>192</v>
      </c>
      <c r="J11">
        <v>168</v>
      </c>
      <c r="K11">
        <v>184</v>
      </c>
      <c r="L11">
        <v>191</v>
      </c>
      <c r="M11">
        <v>176</v>
      </c>
      <c r="N11">
        <v>193</v>
      </c>
      <c r="O11">
        <v>155</v>
      </c>
      <c r="P11">
        <v>210</v>
      </c>
      <c r="Q11">
        <v>213</v>
      </c>
      <c r="R11">
        <v>217</v>
      </c>
      <c r="S11">
        <v>214</v>
      </c>
      <c r="T11">
        <v>200</v>
      </c>
      <c r="U11">
        <v>204</v>
      </c>
      <c r="X11">
        <v>2013</v>
      </c>
    </row>
    <row r="12" spans="1:24" x14ac:dyDescent="0.15">
      <c r="A12">
        <v>35</v>
      </c>
      <c r="B12">
        <v>124</v>
      </c>
      <c r="C12">
        <v>121</v>
      </c>
      <c r="D12">
        <v>140</v>
      </c>
      <c r="E12">
        <v>148</v>
      </c>
      <c r="F12">
        <v>142</v>
      </c>
      <c r="G12">
        <v>155</v>
      </c>
      <c r="H12">
        <v>182</v>
      </c>
      <c r="I12">
        <v>182</v>
      </c>
      <c r="J12">
        <v>156</v>
      </c>
      <c r="K12">
        <v>215</v>
      </c>
      <c r="L12">
        <v>171</v>
      </c>
      <c r="M12">
        <v>160</v>
      </c>
      <c r="N12">
        <v>196</v>
      </c>
      <c r="O12">
        <v>180</v>
      </c>
      <c r="P12">
        <v>182</v>
      </c>
      <c r="Q12">
        <v>225</v>
      </c>
      <c r="R12">
        <v>213</v>
      </c>
      <c r="S12">
        <v>197</v>
      </c>
      <c r="T12">
        <v>219</v>
      </c>
      <c r="U12">
        <v>191</v>
      </c>
      <c r="X12">
        <v>2014</v>
      </c>
    </row>
    <row r="13" spans="1:24" x14ac:dyDescent="0.15">
      <c r="A13">
        <v>36</v>
      </c>
      <c r="B13">
        <v>128</v>
      </c>
      <c r="C13">
        <v>135</v>
      </c>
      <c r="D13">
        <v>140</v>
      </c>
      <c r="E13">
        <v>146</v>
      </c>
      <c r="F13">
        <v>136</v>
      </c>
      <c r="G13">
        <v>182</v>
      </c>
      <c r="H13">
        <v>159</v>
      </c>
      <c r="I13">
        <v>170</v>
      </c>
      <c r="J13">
        <v>191</v>
      </c>
      <c r="K13">
        <v>198</v>
      </c>
      <c r="L13">
        <v>186</v>
      </c>
      <c r="M13">
        <v>186</v>
      </c>
      <c r="N13">
        <v>209</v>
      </c>
      <c r="O13">
        <v>179</v>
      </c>
      <c r="P13">
        <v>209</v>
      </c>
      <c r="Q13">
        <v>229</v>
      </c>
      <c r="R13">
        <v>211</v>
      </c>
      <c r="S13">
        <v>219</v>
      </c>
      <c r="T13">
        <v>178</v>
      </c>
      <c r="U13">
        <v>219</v>
      </c>
      <c r="X13">
        <v>2015</v>
      </c>
    </row>
    <row r="14" spans="1:24" x14ac:dyDescent="0.15">
      <c r="A14">
        <v>37</v>
      </c>
      <c r="B14">
        <v>121</v>
      </c>
      <c r="C14">
        <v>120</v>
      </c>
      <c r="D14">
        <v>140</v>
      </c>
      <c r="E14">
        <v>171</v>
      </c>
      <c r="F14">
        <v>141</v>
      </c>
      <c r="G14">
        <v>134</v>
      </c>
      <c r="H14">
        <v>166</v>
      </c>
      <c r="I14">
        <v>171</v>
      </c>
      <c r="J14">
        <v>178</v>
      </c>
      <c r="K14">
        <v>195</v>
      </c>
      <c r="L14">
        <v>185</v>
      </c>
      <c r="M14">
        <v>184</v>
      </c>
      <c r="N14">
        <v>169</v>
      </c>
      <c r="O14">
        <v>179</v>
      </c>
      <c r="P14">
        <v>188</v>
      </c>
      <c r="Q14">
        <v>221</v>
      </c>
      <c r="R14">
        <v>244</v>
      </c>
      <c r="S14">
        <v>202</v>
      </c>
      <c r="T14">
        <v>199</v>
      </c>
      <c r="U14">
        <v>202</v>
      </c>
      <c r="X14">
        <v>2016</v>
      </c>
    </row>
    <row r="15" spans="1:24" x14ac:dyDescent="0.15">
      <c r="A15">
        <v>38</v>
      </c>
      <c r="B15">
        <v>107</v>
      </c>
      <c r="C15">
        <v>114</v>
      </c>
      <c r="D15">
        <v>150</v>
      </c>
      <c r="E15">
        <v>146</v>
      </c>
      <c r="F15">
        <v>134</v>
      </c>
      <c r="G15">
        <v>165</v>
      </c>
      <c r="H15">
        <v>177</v>
      </c>
      <c r="I15">
        <v>151</v>
      </c>
      <c r="J15">
        <v>169</v>
      </c>
      <c r="K15">
        <v>201</v>
      </c>
      <c r="L15">
        <v>188</v>
      </c>
      <c r="M15">
        <v>165</v>
      </c>
      <c r="N15">
        <v>230</v>
      </c>
      <c r="O15">
        <v>176</v>
      </c>
      <c r="P15">
        <v>201</v>
      </c>
      <c r="Q15">
        <v>216</v>
      </c>
      <c r="R15">
        <v>198</v>
      </c>
      <c r="S15">
        <v>226</v>
      </c>
      <c r="T15">
        <v>187</v>
      </c>
      <c r="U15">
        <v>201</v>
      </c>
      <c r="X15">
        <v>2017</v>
      </c>
    </row>
    <row r="16" spans="1:24" x14ac:dyDescent="0.15">
      <c r="A16">
        <v>39</v>
      </c>
      <c r="B16">
        <v>127</v>
      </c>
      <c r="C16">
        <v>117</v>
      </c>
      <c r="D16">
        <v>157</v>
      </c>
      <c r="E16">
        <v>148</v>
      </c>
      <c r="F16">
        <v>141</v>
      </c>
      <c r="G16">
        <v>134</v>
      </c>
      <c r="H16">
        <v>159</v>
      </c>
      <c r="I16">
        <v>152</v>
      </c>
      <c r="J16">
        <v>170</v>
      </c>
      <c r="K16">
        <v>180</v>
      </c>
      <c r="L16">
        <v>182</v>
      </c>
      <c r="M16">
        <v>161</v>
      </c>
      <c r="N16">
        <v>186</v>
      </c>
      <c r="O16">
        <v>172</v>
      </c>
      <c r="P16">
        <v>194</v>
      </c>
      <c r="Q16">
        <v>213</v>
      </c>
      <c r="R16">
        <v>218</v>
      </c>
      <c r="S16">
        <v>198</v>
      </c>
      <c r="T16">
        <v>196</v>
      </c>
      <c r="U16">
        <v>214</v>
      </c>
      <c r="X16">
        <v>2018</v>
      </c>
    </row>
    <row r="17" spans="1:24" x14ac:dyDescent="0.15">
      <c r="A17">
        <v>40</v>
      </c>
      <c r="B17">
        <v>115</v>
      </c>
      <c r="C17">
        <v>132</v>
      </c>
      <c r="D17">
        <v>123</v>
      </c>
      <c r="E17">
        <v>160</v>
      </c>
      <c r="F17">
        <v>121</v>
      </c>
      <c r="G17">
        <v>151</v>
      </c>
      <c r="H17">
        <v>191</v>
      </c>
      <c r="I17">
        <v>161</v>
      </c>
      <c r="J17">
        <v>179</v>
      </c>
      <c r="K17">
        <v>189</v>
      </c>
      <c r="L17">
        <v>165</v>
      </c>
      <c r="M17">
        <v>203</v>
      </c>
      <c r="N17">
        <v>167</v>
      </c>
      <c r="O17">
        <v>168</v>
      </c>
      <c r="P17">
        <v>184</v>
      </c>
      <c r="Q17">
        <v>180</v>
      </c>
      <c r="R17">
        <v>236</v>
      </c>
      <c r="S17">
        <v>200</v>
      </c>
      <c r="T17">
        <v>162</v>
      </c>
      <c r="U17">
        <v>196</v>
      </c>
      <c r="X17">
        <v>2019</v>
      </c>
    </row>
    <row r="18" spans="1:24" x14ac:dyDescent="0.15">
      <c r="A18">
        <v>41</v>
      </c>
      <c r="B18">
        <v>106</v>
      </c>
      <c r="C18">
        <v>120</v>
      </c>
      <c r="D18">
        <v>121</v>
      </c>
      <c r="E18">
        <v>162</v>
      </c>
      <c r="F18">
        <v>118</v>
      </c>
      <c r="G18">
        <v>134</v>
      </c>
      <c r="H18">
        <v>155</v>
      </c>
      <c r="I18">
        <v>156</v>
      </c>
      <c r="J18">
        <v>194</v>
      </c>
      <c r="K18">
        <v>179</v>
      </c>
      <c r="L18">
        <v>174</v>
      </c>
      <c r="M18">
        <v>169</v>
      </c>
      <c r="N18">
        <v>196</v>
      </c>
      <c r="O18">
        <v>172</v>
      </c>
      <c r="P18">
        <v>189</v>
      </c>
      <c r="Q18">
        <v>192</v>
      </c>
      <c r="R18">
        <v>223</v>
      </c>
      <c r="S18">
        <v>200</v>
      </c>
      <c r="T18">
        <v>181</v>
      </c>
      <c r="U18">
        <v>200</v>
      </c>
      <c r="X18">
        <v>2020</v>
      </c>
    </row>
    <row r="19" spans="1:24" x14ac:dyDescent="0.15">
      <c r="A19">
        <v>42</v>
      </c>
      <c r="B19">
        <v>117</v>
      </c>
      <c r="C19">
        <v>109</v>
      </c>
      <c r="D19">
        <v>137</v>
      </c>
      <c r="E19">
        <v>161</v>
      </c>
      <c r="F19">
        <v>148</v>
      </c>
      <c r="G19">
        <v>164</v>
      </c>
      <c r="H19">
        <v>136</v>
      </c>
      <c r="I19">
        <v>159</v>
      </c>
      <c r="J19">
        <v>170</v>
      </c>
      <c r="K19">
        <v>170</v>
      </c>
      <c r="L19">
        <v>151</v>
      </c>
      <c r="M19">
        <v>184</v>
      </c>
      <c r="N19">
        <v>175</v>
      </c>
      <c r="O19">
        <v>165</v>
      </c>
      <c r="P19">
        <v>175</v>
      </c>
      <c r="Q19">
        <v>221</v>
      </c>
      <c r="R19">
        <v>220</v>
      </c>
      <c r="S19">
        <v>210</v>
      </c>
      <c r="T19">
        <v>188</v>
      </c>
      <c r="U19">
        <v>198</v>
      </c>
      <c r="X19">
        <v>2021</v>
      </c>
    </row>
    <row r="20" spans="1:24" x14ac:dyDescent="0.15">
      <c r="A20">
        <v>43</v>
      </c>
      <c r="B20">
        <v>112</v>
      </c>
      <c r="C20">
        <v>97</v>
      </c>
      <c r="D20">
        <v>121</v>
      </c>
      <c r="E20">
        <v>142</v>
      </c>
      <c r="F20">
        <v>143</v>
      </c>
      <c r="G20">
        <v>137</v>
      </c>
      <c r="H20">
        <v>154</v>
      </c>
      <c r="I20">
        <v>179</v>
      </c>
      <c r="J20">
        <v>175</v>
      </c>
      <c r="K20">
        <v>166</v>
      </c>
      <c r="L20">
        <v>193</v>
      </c>
      <c r="M20">
        <v>166</v>
      </c>
      <c r="N20">
        <v>180</v>
      </c>
      <c r="O20">
        <v>147</v>
      </c>
      <c r="P20">
        <v>174</v>
      </c>
      <c r="Q20">
        <v>192</v>
      </c>
      <c r="R20">
        <v>222</v>
      </c>
      <c r="S20">
        <v>209</v>
      </c>
      <c r="T20">
        <v>192</v>
      </c>
      <c r="U20">
        <v>186</v>
      </c>
      <c r="X20">
        <v>2022</v>
      </c>
    </row>
    <row r="21" spans="1:24" x14ac:dyDescent="0.15">
      <c r="A21">
        <v>44</v>
      </c>
      <c r="B21">
        <v>83</v>
      </c>
      <c r="C21">
        <v>131</v>
      </c>
      <c r="D21">
        <v>123</v>
      </c>
      <c r="E21">
        <v>126</v>
      </c>
      <c r="F21">
        <v>137</v>
      </c>
      <c r="G21">
        <v>149</v>
      </c>
      <c r="H21">
        <v>134</v>
      </c>
      <c r="I21">
        <v>152</v>
      </c>
      <c r="J21">
        <v>170</v>
      </c>
      <c r="K21">
        <v>184</v>
      </c>
      <c r="L21">
        <v>168</v>
      </c>
      <c r="M21">
        <v>198</v>
      </c>
      <c r="N21">
        <v>174</v>
      </c>
      <c r="O21">
        <v>171</v>
      </c>
      <c r="P21">
        <v>208</v>
      </c>
      <c r="Q21">
        <v>184</v>
      </c>
      <c r="R21">
        <v>206</v>
      </c>
      <c r="S21">
        <v>196</v>
      </c>
      <c r="T21">
        <v>177</v>
      </c>
      <c r="U21">
        <v>229</v>
      </c>
      <c r="X21">
        <v>2023</v>
      </c>
    </row>
    <row r="22" spans="1:24" x14ac:dyDescent="0.15">
      <c r="A22">
        <v>45</v>
      </c>
      <c r="B22">
        <v>111</v>
      </c>
      <c r="C22">
        <v>118</v>
      </c>
      <c r="D22">
        <v>131</v>
      </c>
      <c r="E22">
        <v>132</v>
      </c>
      <c r="F22">
        <v>137</v>
      </c>
      <c r="G22">
        <v>153</v>
      </c>
      <c r="H22">
        <v>139</v>
      </c>
      <c r="I22">
        <v>159</v>
      </c>
      <c r="J22">
        <v>164</v>
      </c>
      <c r="K22">
        <v>171</v>
      </c>
      <c r="L22">
        <v>169</v>
      </c>
      <c r="M22">
        <v>164</v>
      </c>
      <c r="N22">
        <v>171</v>
      </c>
      <c r="O22">
        <v>152</v>
      </c>
      <c r="P22">
        <v>186</v>
      </c>
      <c r="Q22">
        <v>189</v>
      </c>
      <c r="R22">
        <v>213</v>
      </c>
      <c r="S22">
        <v>185</v>
      </c>
      <c r="T22">
        <v>185</v>
      </c>
      <c r="U22">
        <v>192</v>
      </c>
    </row>
    <row r="25" spans="1:24" x14ac:dyDescent="0.15">
      <c r="A25" t="s">
        <v>104</v>
      </c>
      <c r="B25">
        <v>26</v>
      </c>
      <c r="C25">
        <v>27</v>
      </c>
      <c r="D25">
        <v>28</v>
      </c>
      <c r="E25">
        <v>29</v>
      </c>
      <c r="F25">
        <v>30</v>
      </c>
      <c r="G25">
        <v>31</v>
      </c>
      <c r="H25">
        <v>32</v>
      </c>
      <c r="I25">
        <v>33</v>
      </c>
      <c r="J25">
        <v>34</v>
      </c>
      <c r="K25">
        <v>35</v>
      </c>
      <c r="L25">
        <v>36</v>
      </c>
      <c r="M25">
        <v>37</v>
      </c>
      <c r="N25">
        <v>38</v>
      </c>
      <c r="O25">
        <v>39</v>
      </c>
      <c r="P25">
        <v>40</v>
      </c>
      <c r="Q25">
        <v>41</v>
      </c>
      <c r="R25">
        <v>42</v>
      </c>
      <c r="S25">
        <v>43</v>
      </c>
      <c r="T25">
        <v>44</v>
      </c>
      <c r="U25">
        <v>45</v>
      </c>
    </row>
    <row r="26" spans="1:24" x14ac:dyDescent="0.15">
      <c r="A26">
        <v>2004</v>
      </c>
      <c r="B26">
        <v>158</v>
      </c>
      <c r="C26">
        <v>165</v>
      </c>
      <c r="D26">
        <v>155</v>
      </c>
      <c r="E26">
        <v>152</v>
      </c>
      <c r="F26">
        <v>127</v>
      </c>
      <c r="G26">
        <v>117</v>
      </c>
      <c r="H26">
        <v>110</v>
      </c>
      <c r="I26">
        <v>126</v>
      </c>
      <c r="J26">
        <v>118</v>
      </c>
      <c r="K26">
        <v>124</v>
      </c>
      <c r="L26">
        <v>128</v>
      </c>
      <c r="M26">
        <v>121</v>
      </c>
      <c r="N26">
        <v>107</v>
      </c>
      <c r="O26">
        <v>127</v>
      </c>
      <c r="P26">
        <v>115</v>
      </c>
      <c r="Q26">
        <v>106</v>
      </c>
      <c r="R26">
        <v>117</v>
      </c>
      <c r="S26">
        <v>112</v>
      </c>
      <c r="T26">
        <v>83</v>
      </c>
      <c r="U26">
        <v>111</v>
      </c>
    </row>
    <row r="27" spans="1:24" x14ac:dyDescent="0.15">
      <c r="A27">
        <v>2005</v>
      </c>
      <c r="B27">
        <v>163</v>
      </c>
      <c r="C27">
        <v>142</v>
      </c>
      <c r="D27">
        <v>155</v>
      </c>
      <c r="E27">
        <v>134</v>
      </c>
      <c r="F27">
        <v>131</v>
      </c>
      <c r="G27">
        <v>133</v>
      </c>
      <c r="H27">
        <v>141</v>
      </c>
      <c r="I27">
        <v>113</v>
      </c>
      <c r="J27">
        <v>140</v>
      </c>
      <c r="K27">
        <v>121</v>
      </c>
      <c r="L27">
        <v>135</v>
      </c>
      <c r="M27">
        <v>120</v>
      </c>
      <c r="N27">
        <v>114</v>
      </c>
      <c r="O27">
        <v>117</v>
      </c>
      <c r="P27">
        <v>132</v>
      </c>
      <c r="Q27">
        <v>120</v>
      </c>
      <c r="R27">
        <v>109</v>
      </c>
      <c r="S27">
        <v>97</v>
      </c>
      <c r="T27">
        <v>131</v>
      </c>
      <c r="U27">
        <v>118</v>
      </c>
    </row>
    <row r="28" spans="1:24" x14ac:dyDescent="0.15">
      <c r="A28">
        <v>2006</v>
      </c>
      <c r="B28">
        <v>180</v>
      </c>
      <c r="C28">
        <v>190</v>
      </c>
      <c r="D28">
        <v>165</v>
      </c>
      <c r="E28">
        <v>159</v>
      </c>
      <c r="F28">
        <v>174</v>
      </c>
      <c r="G28">
        <v>157</v>
      </c>
      <c r="H28">
        <v>161</v>
      </c>
      <c r="I28">
        <v>139</v>
      </c>
      <c r="J28">
        <v>127</v>
      </c>
      <c r="K28">
        <v>140</v>
      </c>
      <c r="L28">
        <v>140</v>
      </c>
      <c r="M28">
        <v>140</v>
      </c>
      <c r="N28">
        <v>150</v>
      </c>
      <c r="O28">
        <v>157</v>
      </c>
      <c r="P28">
        <v>123</v>
      </c>
      <c r="Q28">
        <v>121</v>
      </c>
      <c r="R28">
        <v>137</v>
      </c>
      <c r="S28">
        <v>121</v>
      </c>
      <c r="T28">
        <v>123</v>
      </c>
      <c r="U28">
        <v>131</v>
      </c>
    </row>
    <row r="29" spans="1:24" x14ac:dyDescent="0.15">
      <c r="A29">
        <v>2007</v>
      </c>
      <c r="B29">
        <v>177</v>
      </c>
      <c r="C29">
        <v>170</v>
      </c>
      <c r="D29">
        <v>163</v>
      </c>
      <c r="E29">
        <v>162</v>
      </c>
      <c r="F29">
        <v>154</v>
      </c>
      <c r="G29">
        <v>155</v>
      </c>
      <c r="H29">
        <v>152</v>
      </c>
      <c r="I29">
        <v>158</v>
      </c>
      <c r="J29">
        <v>155</v>
      </c>
      <c r="K29">
        <v>148</v>
      </c>
      <c r="L29">
        <v>146</v>
      </c>
      <c r="M29">
        <v>171</v>
      </c>
      <c r="N29">
        <v>146</v>
      </c>
      <c r="O29">
        <v>148</v>
      </c>
      <c r="P29">
        <v>160</v>
      </c>
      <c r="Q29">
        <v>162</v>
      </c>
      <c r="R29">
        <v>161</v>
      </c>
      <c r="S29">
        <v>142</v>
      </c>
      <c r="T29">
        <v>126</v>
      </c>
      <c r="U29">
        <v>132</v>
      </c>
    </row>
    <row r="30" spans="1:24" x14ac:dyDescent="0.15">
      <c r="A30">
        <v>2008</v>
      </c>
      <c r="B30">
        <v>198</v>
      </c>
      <c r="C30">
        <v>160</v>
      </c>
      <c r="D30">
        <v>167</v>
      </c>
      <c r="E30">
        <v>169</v>
      </c>
      <c r="F30">
        <v>158</v>
      </c>
      <c r="G30">
        <v>178</v>
      </c>
      <c r="H30">
        <v>155</v>
      </c>
      <c r="I30">
        <v>153</v>
      </c>
      <c r="J30">
        <v>145</v>
      </c>
      <c r="K30">
        <v>142</v>
      </c>
      <c r="L30">
        <v>136</v>
      </c>
      <c r="M30">
        <v>141</v>
      </c>
      <c r="N30">
        <v>134</v>
      </c>
      <c r="O30">
        <v>141</v>
      </c>
      <c r="P30">
        <v>121</v>
      </c>
      <c r="Q30">
        <v>118</v>
      </c>
      <c r="R30">
        <v>148</v>
      </c>
      <c r="S30">
        <v>143</v>
      </c>
      <c r="T30">
        <v>137</v>
      </c>
      <c r="U30">
        <v>137</v>
      </c>
    </row>
    <row r="31" spans="1:24" x14ac:dyDescent="0.15">
      <c r="A31">
        <v>2009</v>
      </c>
      <c r="B31">
        <v>194</v>
      </c>
      <c r="C31">
        <v>181</v>
      </c>
      <c r="D31">
        <v>186</v>
      </c>
      <c r="E31">
        <v>183</v>
      </c>
      <c r="F31">
        <v>195</v>
      </c>
      <c r="G31">
        <v>165</v>
      </c>
      <c r="H31">
        <v>166</v>
      </c>
      <c r="I31">
        <v>160</v>
      </c>
      <c r="J31">
        <v>166</v>
      </c>
      <c r="K31">
        <v>155</v>
      </c>
      <c r="L31">
        <v>182</v>
      </c>
      <c r="M31">
        <v>134</v>
      </c>
      <c r="N31">
        <v>165</v>
      </c>
      <c r="O31">
        <v>134</v>
      </c>
      <c r="P31">
        <v>151</v>
      </c>
      <c r="Q31">
        <v>134</v>
      </c>
      <c r="R31">
        <v>164</v>
      </c>
      <c r="S31">
        <v>137</v>
      </c>
      <c r="T31">
        <v>149</v>
      </c>
      <c r="U31">
        <v>153</v>
      </c>
    </row>
    <row r="32" spans="1:24" x14ac:dyDescent="0.15">
      <c r="A32">
        <v>2010</v>
      </c>
      <c r="B32">
        <v>209</v>
      </c>
      <c r="C32">
        <v>222</v>
      </c>
      <c r="D32">
        <v>206</v>
      </c>
      <c r="E32">
        <v>196</v>
      </c>
      <c r="F32">
        <v>196</v>
      </c>
      <c r="G32">
        <v>193</v>
      </c>
      <c r="H32">
        <v>181</v>
      </c>
      <c r="I32">
        <v>194</v>
      </c>
      <c r="J32">
        <v>176</v>
      </c>
      <c r="K32">
        <v>182</v>
      </c>
      <c r="L32">
        <v>159</v>
      </c>
      <c r="M32">
        <v>166</v>
      </c>
      <c r="N32">
        <v>177</v>
      </c>
      <c r="O32">
        <v>159</v>
      </c>
      <c r="P32">
        <v>191</v>
      </c>
      <c r="Q32">
        <v>155</v>
      </c>
      <c r="R32">
        <v>136</v>
      </c>
      <c r="S32">
        <v>154</v>
      </c>
      <c r="T32">
        <v>134</v>
      </c>
      <c r="U32">
        <v>139</v>
      </c>
    </row>
    <row r="33" spans="1:21" x14ac:dyDescent="0.15">
      <c r="A33">
        <v>2011</v>
      </c>
      <c r="B33">
        <v>220</v>
      </c>
      <c r="C33">
        <v>241</v>
      </c>
      <c r="D33">
        <v>214</v>
      </c>
      <c r="E33">
        <v>191</v>
      </c>
      <c r="F33">
        <v>206</v>
      </c>
      <c r="G33">
        <v>206</v>
      </c>
      <c r="H33">
        <v>195</v>
      </c>
      <c r="I33">
        <v>179</v>
      </c>
      <c r="J33">
        <v>192</v>
      </c>
      <c r="K33">
        <v>182</v>
      </c>
      <c r="L33">
        <v>170</v>
      </c>
      <c r="M33">
        <v>171</v>
      </c>
      <c r="N33">
        <v>151</v>
      </c>
      <c r="O33">
        <v>152</v>
      </c>
      <c r="P33">
        <v>161</v>
      </c>
      <c r="Q33">
        <v>156</v>
      </c>
      <c r="R33">
        <v>159</v>
      </c>
      <c r="S33">
        <v>179</v>
      </c>
      <c r="T33">
        <v>152</v>
      </c>
      <c r="U33">
        <v>159</v>
      </c>
    </row>
    <row r="34" spans="1:21" x14ac:dyDescent="0.15">
      <c r="A34">
        <v>2012</v>
      </c>
      <c r="B34">
        <v>228</v>
      </c>
      <c r="C34">
        <v>243</v>
      </c>
      <c r="D34">
        <v>224</v>
      </c>
      <c r="E34">
        <v>210</v>
      </c>
      <c r="F34">
        <v>199</v>
      </c>
      <c r="G34">
        <v>194</v>
      </c>
      <c r="H34">
        <v>176</v>
      </c>
      <c r="I34">
        <v>188</v>
      </c>
      <c r="J34">
        <v>168</v>
      </c>
      <c r="K34">
        <v>156</v>
      </c>
      <c r="L34">
        <v>191</v>
      </c>
      <c r="M34">
        <v>178</v>
      </c>
      <c r="N34">
        <v>169</v>
      </c>
      <c r="O34">
        <v>170</v>
      </c>
      <c r="P34">
        <v>179</v>
      </c>
      <c r="Q34">
        <v>194</v>
      </c>
      <c r="R34">
        <v>170</v>
      </c>
      <c r="S34">
        <v>175</v>
      </c>
      <c r="T34">
        <v>170</v>
      </c>
      <c r="U34">
        <v>164</v>
      </c>
    </row>
    <row r="35" spans="1:21" x14ac:dyDescent="0.15">
      <c r="A35">
        <v>2013</v>
      </c>
      <c r="B35">
        <v>234</v>
      </c>
      <c r="C35">
        <v>237</v>
      </c>
      <c r="D35">
        <v>234</v>
      </c>
      <c r="E35">
        <v>210</v>
      </c>
      <c r="F35">
        <v>193</v>
      </c>
      <c r="G35">
        <v>193</v>
      </c>
      <c r="H35">
        <v>185</v>
      </c>
      <c r="I35">
        <v>193</v>
      </c>
      <c r="J35">
        <v>184</v>
      </c>
      <c r="K35">
        <v>215</v>
      </c>
      <c r="L35">
        <v>198</v>
      </c>
      <c r="M35">
        <v>195</v>
      </c>
      <c r="N35">
        <v>201</v>
      </c>
      <c r="O35">
        <v>180</v>
      </c>
      <c r="P35">
        <v>189</v>
      </c>
      <c r="Q35">
        <v>179</v>
      </c>
      <c r="R35">
        <v>170</v>
      </c>
      <c r="S35">
        <v>166</v>
      </c>
      <c r="T35">
        <v>184</v>
      </c>
      <c r="U35">
        <v>171</v>
      </c>
    </row>
    <row r="36" spans="1:21" x14ac:dyDescent="0.15">
      <c r="A36">
        <v>2014</v>
      </c>
      <c r="B36">
        <v>244</v>
      </c>
      <c r="C36">
        <v>208</v>
      </c>
      <c r="D36">
        <v>213</v>
      </c>
      <c r="E36">
        <v>212</v>
      </c>
      <c r="F36">
        <v>192</v>
      </c>
      <c r="G36">
        <v>197</v>
      </c>
      <c r="H36">
        <v>206</v>
      </c>
      <c r="I36">
        <v>166</v>
      </c>
      <c r="J36">
        <v>191</v>
      </c>
      <c r="K36">
        <v>171</v>
      </c>
      <c r="L36">
        <v>186</v>
      </c>
      <c r="M36">
        <v>185</v>
      </c>
      <c r="N36">
        <v>188</v>
      </c>
      <c r="O36">
        <v>182</v>
      </c>
      <c r="P36">
        <v>165</v>
      </c>
      <c r="Q36">
        <v>174</v>
      </c>
      <c r="R36">
        <v>151</v>
      </c>
      <c r="S36">
        <v>193</v>
      </c>
      <c r="T36">
        <v>168</v>
      </c>
      <c r="U36">
        <v>169</v>
      </c>
    </row>
    <row r="37" spans="1:21" x14ac:dyDescent="0.15">
      <c r="A37">
        <v>2015</v>
      </c>
      <c r="B37">
        <v>202</v>
      </c>
      <c r="C37">
        <v>204</v>
      </c>
      <c r="D37">
        <v>197</v>
      </c>
      <c r="E37">
        <v>220</v>
      </c>
      <c r="F37">
        <v>198</v>
      </c>
      <c r="G37">
        <v>204</v>
      </c>
      <c r="H37">
        <v>190</v>
      </c>
      <c r="I37">
        <v>165</v>
      </c>
      <c r="J37">
        <v>176</v>
      </c>
      <c r="K37">
        <v>160</v>
      </c>
      <c r="L37">
        <v>186</v>
      </c>
      <c r="M37">
        <v>184</v>
      </c>
      <c r="N37">
        <v>165</v>
      </c>
      <c r="O37">
        <v>161</v>
      </c>
      <c r="P37">
        <v>203</v>
      </c>
      <c r="Q37">
        <v>169</v>
      </c>
      <c r="R37">
        <v>184</v>
      </c>
      <c r="S37">
        <v>166</v>
      </c>
      <c r="T37">
        <v>198</v>
      </c>
      <c r="U37">
        <v>164</v>
      </c>
    </row>
    <row r="38" spans="1:21" x14ac:dyDescent="0.15">
      <c r="A38">
        <v>2016</v>
      </c>
      <c r="B38">
        <v>259</v>
      </c>
      <c r="C38">
        <v>230</v>
      </c>
      <c r="D38">
        <v>220</v>
      </c>
      <c r="E38">
        <v>244</v>
      </c>
      <c r="F38">
        <v>216</v>
      </c>
      <c r="G38">
        <v>206</v>
      </c>
      <c r="H38">
        <v>200</v>
      </c>
      <c r="I38">
        <v>213</v>
      </c>
      <c r="J38">
        <v>193</v>
      </c>
      <c r="K38">
        <v>196</v>
      </c>
      <c r="L38">
        <v>209</v>
      </c>
      <c r="M38">
        <v>169</v>
      </c>
      <c r="N38">
        <v>230</v>
      </c>
      <c r="O38">
        <v>186</v>
      </c>
      <c r="P38">
        <v>167</v>
      </c>
      <c r="Q38">
        <v>196</v>
      </c>
      <c r="R38">
        <v>175</v>
      </c>
      <c r="S38">
        <v>180</v>
      </c>
      <c r="T38">
        <v>174</v>
      </c>
      <c r="U38">
        <v>171</v>
      </c>
    </row>
    <row r="39" spans="1:21" x14ac:dyDescent="0.15">
      <c r="A39">
        <v>2017</v>
      </c>
      <c r="B39">
        <v>259</v>
      </c>
      <c r="C39">
        <v>209</v>
      </c>
      <c r="D39">
        <v>195</v>
      </c>
      <c r="E39">
        <v>217</v>
      </c>
      <c r="F39">
        <v>194</v>
      </c>
      <c r="G39">
        <v>221</v>
      </c>
      <c r="H39">
        <v>193</v>
      </c>
      <c r="I39">
        <v>196</v>
      </c>
      <c r="J39">
        <v>155</v>
      </c>
      <c r="K39">
        <v>180</v>
      </c>
      <c r="L39">
        <v>179</v>
      </c>
      <c r="M39">
        <v>179</v>
      </c>
      <c r="N39">
        <v>176</v>
      </c>
      <c r="O39">
        <v>172</v>
      </c>
      <c r="P39">
        <v>168</v>
      </c>
      <c r="Q39">
        <v>172</v>
      </c>
      <c r="R39">
        <v>165</v>
      </c>
      <c r="S39">
        <v>147</v>
      </c>
      <c r="T39">
        <v>171</v>
      </c>
      <c r="U39">
        <v>152</v>
      </c>
    </row>
    <row r="40" spans="1:21" x14ac:dyDescent="0.15">
      <c r="A40">
        <v>2018</v>
      </c>
      <c r="B40">
        <v>268</v>
      </c>
      <c r="C40">
        <v>243</v>
      </c>
      <c r="D40">
        <v>253</v>
      </c>
      <c r="E40">
        <v>235</v>
      </c>
      <c r="F40">
        <v>226</v>
      </c>
      <c r="G40">
        <v>213</v>
      </c>
      <c r="H40">
        <v>219</v>
      </c>
      <c r="I40">
        <v>211</v>
      </c>
      <c r="J40">
        <v>210</v>
      </c>
      <c r="K40">
        <v>182</v>
      </c>
      <c r="L40">
        <v>209</v>
      </c>
      <c r="M40">
        <v>188</v>
      </c>
      <c r="N40">
        <v>201</v>
      </c>
      <c r="O40">
        <v>194</v>
      </c>
      <c r="P40">
        <v>184</v>
      </c>
      <c r="Q40">
        <v>189</v>
      </c>
      <c r="R40">
        <v>175</v>
      </c>
      <c r="S40">
        <v>174</v>
      </c>
      <c r="T40">
        <v>208</v>
      </c>
      <c r="U40">
        <v>186</v>
      </c>
    </row>
    <row r="41" spans="1:21" x14ac:dyDescent="0.15">
      <c r="A41">
        <v>2019</v>
      </c>
      <c r="B41">
        <v>290</v>
      </c>
      <c r="C41">
        <v>262</v>
      </c>
      <c r="D41">
        <v>256</v>
      </c>
      <c r="E41">
        <v>262</v>
      </c>
      <c r="F41">
        <v>249</v>
      </c>
      <c r="G41">
        <v>224</v>
      </c>
      <c r="H41">
        <v>236</v>
      </c>
      <c r="I41">
        <v>212</v>
      </c>
      <c r="J41">
        <v>213</v>
      </c>
      <c r="K41">
        <v>225</v>
      </c>
      <c r="L41">
        <v>229</v>
      </c>
      <c r="M41">
        <v>221</v>
      </c>
      <c r="N41">
        <v>216</v>
      </c>
      <c r="O41">
        <v>213</v>
      </c>
      <c r="P41">
        <v>180</v>
      </c>
      <c r="Q41">
        <v>192</v>
      </c>
      <c r="R41">
        <v>221</v>
      </c>
      <c r="S41">
        <v>192</v>
      </c>
      <c r="T41">
        <v>184</v>
      </c>
      <c r="U41">
        <v>189</v>
      </c>
    </row>
    <row r="42" spans="1:21" x14ac:dyDescent="0.15">
      <c r="A42">
        <v>2020</v>
      </c>
      <c r="B42">
        <v>300</v>
      </c>
      <c r="C42">
        <v>288</v>
      </c>
      <c r="D42">
        <v>280</v>
      </c>
      <c r="E42">
        <v>263</v>
      </c>
      <c r="F42">
        <v>251</v>
      </c>
      <c r="G42">
        <v>254</v>
      </c>
      <c r="H42">
        <v>246</v>
      </c>
      <c r="I42">
        <v>231</v>
      </c>
      <c r="J42">
        <v>217</v>
      </c>
      <c r="K42">
        <v>213</v>
      </c>
      <c r="L42">
        <v>211</v>
      </c>
      <c r="M42">
        <v>244</v>
      </c>
      <c r="N42">
        <v>198</v>
      </c>
      <c r="O42">
        <v>218</v>
      </c>
      <c r="P42">
        <v>236</v>
      </c>
      <c r="Q42">
        <v>223</v>
      </c>
      <c r="R42">
        <v>220</v>
      </c>
      <c r="S42">
        <v>222</v>
      </c>
      <c r="T42">
        <v>206</v>
      </c>
      <c r="U42">
        <v>213</v>
      </c>
    </row>
    <row r="43" spans="1:21" x14ac:dyDescent="0.15">
      <c r="A43">
        <v>2021</v>
      </c>
      <c r="B43">
        <v>288</v>
      </c>
      <c r="C43">
        <v>284</v>
      </c>
      <c r="D43">
        <v>265</v>
      </c>
      <c r="E43">
        <v>254</v>
      </c>
      <c r="F43">
        <v>232</v>
      </c>
      <c r="G43">
        <v>252</v>
      </c>
      <c r="H43">
        <v>242</v>
      </c>
      <c r="I43">
        <v>222</v>
      </c>
      <c r="J43">
        <v>214</v>
      </c>
      <c r="K43">
        <v>197</v>
      </c>
      <c r="L43">
        <v>219</v>
      </c>
      <c r="M43">
        <v>202</v>
      </c>
      <c r="N43">
        <v>226</v>
      </c>
      <c r="O43">
        <v>198</v>
      </c>
      <c r="P43">
        <v>200</v>
      </c>
      <c r="Q43">
        <v>200</v>
      </c>
      <c r="R43">
        <v>210</v>
      </c>
      <c r="S43">
        <v>209</v>
      </c>
      <c r="T43">
        <v>196</v>
      </c>
      <c r="U43">
        <v>185</v>
      </c>
    </row>
    <row r="44" spans="1:21" x14ac:dyDescent="0.15">
      <c r="A44">
        <v>2022</v>
      </c>
      <c r="B44">
        <v>272</v>
      </c>
      <c r="C44">
        <v>231</v>
      </c>
      <c r="D44">
        <v>241</v>
      </c>
      <c r="E44">
        <v>229</v>
      </c>
      <c r="F44">
        <v>245</v>
      </c>
      <c r="G44">
        <v>220</v>
      </c>
      <c r="H44">
        <v>190</v>
      </c>
      <c r="I44">
        <v>220</v>
      </c>
      <c r="J44">
        <v>200</v>
      </c>
      <c r="K44">
        <v>219</v>
      </c>
      <c r="L44">
        <v>178</v>
      </c>
      <c r="M44">
        <v>199</v>
      </c>
      <c r="N44">
        <v>187</v>
      </c>
      <c r="O44">
        <v>196</v>
      </c>
      <c r="P44">
        <v>162</v>
      </c>
      <c r="Q44">
        <v>181</v>
      </c>
      <c r="R44">
        <v>188</v>
      </c>
      <c r="S44">
        <v>192</v>
      </c>
      <c r="T44">
        <v>177</v>
      </c>
      <c r="U44">
        <v>185</v>
      </c>
    </row>
    <row r="45" spans="1:21" x14ac:dyDescent="0.15">
      <c r="A45">
        <v>2023</v>
      </c>
      <c r="B45">
        <v>271</v>
      </c>
      <c r="C45">
        <v>240</v>
      </c>
      <c r="D45">
        <v>254</v>
      </c>
      <c r="E45">
        <v>233</v>
      </c>
      <c r="F45">
        <v>242</v>
      </c>
      <c r="G45">
        <v>228</v>
      </c>
      <c r="H45">
        <v>224</v>
      </c>
      <c r="I45">
        <v>221</v>
      </c>
      <c r="J45">
        <v>204</v>
      </c>
      <c r="K45">
        <v>191</v>
      </c>
      <c r="L45">
        <v>219</v>
      </c>
      <c r="M45">
        <v>202</v>
      </c>
      <c r="N45">
        <v>201</v>
      </c>
      <c r="O45">
        <v>214</v>
      </c>
      <c r="P45">
        <v>196</v>
      </c>
      <c r="Q45">
        <v>200</v>
      </c>
      <c r="R45">
        <v>198</v>
      </c>
      <c r="S45">
        <v>186</v>
      </c>
      <c r="T45">
        <v>229</v>
      </c>
      <c r="U45"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3F511-F321-264F-AB12-8D67CFCC81ED}">
  <sheetPr codeName="Sheet7"/>
  <dimension ref="A1:AY137"/>
  <sheetViews>
    <sheetView zoomScale="85" workbookViewId="0">
      <pane ySplit="3" topLeftCell="A107" activePane="bottomLeft" state="frozen"/>
      <selection pane="bottomLeft" activeCell="H131" sqref="H131"/>
    </sheetView>
  </sheetViews>
  <sheetFormatPr baseColWidth="10" defaultColWidth="10.6640625" defaultRowHeight="13" x14ac:dyDescent="0.15"/>
  <cols>
    <col min="1" max="1" width="12.6640625" customWidth="1"/>
    <col min="2" max="2" width="24.33203125" customWidth="1"/>
    <col min="3" max="3" width="16.6640625" customWidth="1"/>
    <col min="4" max="4" width="25.5" customWidth="1"/>
    <col min="6" max="6" width="41.33203125" customWidth="1"/>
    <col min="7" max="7" width="18" customWidth="1"/>
    <col min="8" max="8" width="18.5" customWidth="1"/>
    <col min="9" max="9" width="15.1640625" customWidth="1"/>
    <col min="10" max="10" width="17.1640625" customWidth="1"/>
    <col min="11" max="11" width="20.6640625" customWidth="1"/>
    <col min="12" max="12" width="12.5" customWidth="1"/>
    <col min="13" max="13" width="15.33203125" customWidth="1"/>
    <col min="14" max="14" width="22" customWidth="1"/>
    <col min="15" max="15" width="25.6640625" customWidth="1"/>
    <col min="16" max="16" width="22.33203125" customWidth="1"/>
    <col min="17" max="17" width="11.1640625" customWidth="1"/>
    <col min="18" max="18" width="5.6640625" customWidth="1"/>
    <col min="19" max="19" width="19.1640625" customWidth="1"/>
    <col min="20" max="20" width="17.83203125" customWidth="1"/>
    <col min="21" max="21" width="18.33203125" customWidth="1"/>
    <col min="23" max="23" width="16.5" customWidth="1"/>
    <col min="24" max="24" width="8.1640625" customWidth="1"/>
    <col min="25" max="25" width="5.6640625" customWidth="1"/>
    <col min="26" max="29" width="10.6640625" customWidth="1"/>
    <col min="30" max="30" width="21.6640625" customWidth="1"/>
    <col min="32" max="32" width="11.33203125" customWidth="1"/>
    <col min="33" max="33" width="14.6640625" customWidth="1"/>
    <col min="34" max="34" width="14.5" customWidth="1"/>
    <col min="35" max="35" width="15.5" customWidth="1"/>
    <col min="38" max="38" width="12.5" customWidth="1"/>
    <col min="39" max="39" width="12.1640625" customWidth="1"/>
    <col min="40" max="40" width="13.5" customWidth="1"/>
    <col min="42" max="42" width="16.1640625" customWidth="1"/>
    <col min="45" max="46" width="32.1640625" customWidth="1"/>
    <col min="47" max="47" width="22.1640625" customWidth="1"/>
    <col min="48" max="48" width="19.83203125" bestFit="1" customWidth="1"/>
    <col min="51" max="51" width="9.5" bestFit="1" customWidth="1"/>
  </cols>
  <sheetData>
    <row r="1" spans="1:51" ht="16" x14ac:dyDescent="0.2">
      <c r="A1" s="42" t="s">
        <v>105</v>
      </c>
      <c r="AE1" s="202" t="s">
        <v>0</v>
      </c>
      <c r="AF1" s="203"/>
      <c r="AG1" s="203"/>
      <c r="AH1" s="203"/>
      <c r="AI1" s="203"/>
      <c r="AJ1" s="203"/>
      <c r="AK1" s="204"/>
      <c r="AL1" s="204"/>
      <c r="AM1" s="204"/>
      <c r="AN1" s="204"/>
    </row>
    <row r="2" spans="1:51" ht="15" x14ac:dyDescent="0.2">
      <c r="K2" s="29" t="s">
        <v>1</v>
      </c>
      <c r="L2" s="29"/>
      <c r="M2" s="29"/>
      <c r="N2" s="29"/>
      <c r="O2" s="29"/>
      <c r="P2" s="29"/>
      <c r="Q2" s="29"/>
      <c r="S2" s="205" t="s">
        <v>2</v>
      </c>
      <c r="T2" s="206"/>
      <c r="U2" s="206"/>
      <c r="V2" s="206"/>
      <c r="W2" s="207"/>
      <c r="X2" s="208"/>
      <c r="Z2" s="209" t="s">
        <v>3</v>
      </c>
      <c r="AA2" s="210"/>
      <c r="AB2" s="210"/>
      <c r="AC2" s="210"/>
      <c r="AE2" s="2" t="s">
        <v>4</v>
      </c>
      <c r="AF2" s="2" t="s">
        <v>5</v>
      </c>
      <c r="AG2" s="2" t="s">
        <v>6</v>
      </c>
      <c r="AH2" s="2" t="s">
        <v>7</v>
      </c>
      <c r="AI2" s="2"/>
      <c r="AJ2" s="2" t="s">
        <v>8</v>
      </c>
      <c r="AK2" s="2" t="s">
        <v>9</v>
      </c>
      <c r="AL2" s="2" t="s">
        <v>10</v>
      </c>
      <c r="AM2" s="2" t="s">
        <v>11</v>
      </c>
      <c r="AN2" s="2" t="s">
        <v>12</v>
      </c>
    </row>
    <row r="3" spans="1:51" ht="28" x14ac:dyDescent="0.15">
      <c r="G3" t="s">
        <v>13</v>
      </c>
      <c r="H3" s="95">
        <v>48514.415999999997</v>
      </c>
      <c r="I3" s="82" t="s">
        <v>14</v>
      </c>
      <c r="J3" s="76" t="s">
        <v>15</v>
      </c>
      <c r="K3" s="2" t="s">
        <v>16</v>
      </c>
      <c r="L3" s="2" t="s">
        <v>17</v>
      </c>
      <c r="M3" s="2" t="s">
        <v>18</v>
      </c>
      <c r="N3" s="77" t="s">
        <v>19</v>
      </c>
      <c r="O3" s="77" t="s">
        <v>20</v>
      </c>
      <c r="P3" s="77" t="s">
        <v>21</v>
      </c>
      <c r="Q3" s="77" t="s">
        <v>22</v>
      </c>
      <c r="R3" s="77"/>
      <c r="S3" s="77" t="s">
        <v>23</v>
      </c>
      <c r="T3" s="77" t="s">
        <v>24</v>
      </c>
      <c r="U3" s="77" t="s">
        <v>25</v>
      </c>
      <c r="V3" s="77" t="s">
        <v>26</v>
      </c>
      <c r="W3" s="77" t="s">
        <v>27</v>
      </c>
      <c r="X3" s="77" t="s">
        <v>28</v>
      </c>
      <c r="Y3" s="77"/>
      <c r="Z3" s="77" t="s">
        <v>29</v>
      </c>
      <c r="AA3" s="77" t="s">
        <v>30</v>
      </c>
      <c r="AB3" s="77" t="s">
        <v>31</v>
      </c>
      <c r="AC3" s="77" t="s">
        <v>32</v>
      </c>
      <c r="AD3" s="77"/>
      <c r="AE3" s="78" t="s">
        <v>33</v>
      </c>
      <c r="AF3" s="78" t="s">
        <v>34</v>
      </c>
      <c r="AG3" s="78" t="s">
        <v>35</v>
      </c>
      <c r="AH3" s="78" t="s">
        <v>36</v>
      </c>
      <c r="AI3" s="78" t="s">
        <v>37</v>
      </c>
      <c r="AJ3" s="78" t="s">
        <v>38</v>
      </c>
      <c r="AK3" s="78" t="s">
        <v>39</v>
      </c>
      <c r="AL3" s="78" t="s">
        <v>40</v>
      </c>
      <c r="AM3" s="78" t="s">
        <v>41</v>
      </c>
      <c r="AN3" s="78">
        <v>0</v>
      </c>
      <c r="AO3" s="7" t="s">
        <v>43</v>
      </c>
      <c r="AP3" s="2"/>
      <c r="AQ3" s="2"/>
    </row>
    <row r="4" spans="1:51" x14ac:dyDescent="0.15">
      <c r="A4" s="83" t="s">
        <v>44</v>
      </c>
      <c r="B4" s="19"/>
      <c r="C4" s="19"/>
      <c r="D4" s="83" t="s">
        <v>14</v>
      </c>
      <c r="E4">
        <v>46</v>
      </c>
      <c r="H4" s="2"/>
      <c r="I4" s="2"/>
      <c r="J4" s="2">
        <v>0</v>
      </c>
      <c r="K4" s="13">
        <f>$H$3</f>
        <v>48514.415999999997</v>
      </c>
      <c r="L4" s="13">
        <f>K4*C16</f>
        <v>4851.4416000000001</v>
      </c>
      <c r="M4" s="26">
        <f>100+10%*K4</f>
        <v>4951.4416000000001</v>
      </c>
      <c r="N4" s="13">
        <f>$E$11</f>
        <v>100000</v>
      </c>
      <c r="O4" s="50">
        <v>0.8</v>
      </c>
      <c r="P4" s="6">
        <f>N4*O4/1000</f>
        <v>80</v>
      </c>
      <c r="Q4" s="39">
        <f>$H$14*N4/1000</f>
        <v>1</v>
      </c>
      <c r="U4" s="38">
        <v>1</v>
      </c>
      <c r="V4" s="36"/>
      <c r="W4" s="36"/>
      <c r="X4" s="36">
        <f>U4-SUM(V4:W4)</f>
        <v>1</v>
      </c>
      <c r="Y4" s="36"/>
      <c r="Z4" s="6"/>
      <c r="AA4" s="6"/>
      <c r="AB4" s="6">
        <f>P4*X4</f>
        <v>80</v>
      </c>
      <c r="AC4" s="6">
        <f>Q4*X4</f>
        <v>1</v>
      </c>
      <c r="AD4" s="36"/>
      <c r="AE4" s="6">
        <f>$X4*K4</f>
        <v>48514.415999999997</v>
      </c>
      <c r="AF4" s="6">
        <f>-$X4*L4</f>
        <v>-4851.4416000000001</v>
      </c>
      <c r="AG4" s="6">
        <f>-$X4*M4</f>
        <v>-4951.4416000000001</v>
      </c>
      <c r="AH4" s="6"/>
      <c r="AI4" s="6">
        <f>SUM(AE4:AH4)</f>
        <v>38711.532800000001</v>
      </c>
      <c r="AJ4" s="6">
        <f>Z4-AB4</f>
        <v>-80</v>
      </c>
      <c r="AK4" s="6"/>
      <c r="AL4" s="6">
        <f>SUM(AI4:AK4)</f>
        <v>38631.532800000001</v>
      </c>
      <c r="AM4" s="6">
        <f>AA4-AC4</f>
        <v>-1</v>
      </c>
      <c r="AN4" s="6">
        <f>AL4+AM4</f>
        <v>38630.532800000001</v>
      </c>
      <c r="AP4" s="41">
        <f>AL106</f>
        <v>24004.04011291331</v>
      </c>
      <c r="AR4" s="128" t="s">
        <v>45</v>
      </c>
      <c r="AS4" s="23"/>
      <c r="AT4" s="32"/>
      <c r="AU4" s="23"/>
      <c r="AV4" s="32"/>
      <c r="AW4" s="32"/>
      <c r="AX4" s="23"/>
    </row>
    <row r="5" spans="1:51" x14ac:dyDescent="0.15">
      <c r="H5" s="28"/>
      <c r="I5" s="14">
        <f>$E$4+J5-1</f>
        <v>46</v>
      </c>
      <c r="J5" s="3">
        <f>J4+1</f>
        <v>1</v>
      </c>
      <c r="K5" s="13"/>
      <c r="L5" s="13"/>
      <c r="M5" s="26">
        <v>50</v>
      </c>
      <c r="N5" s="13">
        <f>$E$11</f>
        <v>100000</v>
      </c>
      <c r="O5" s="30">
        <v>0.3</v>
      </c>
      <c r="P5" s="39">
        <f t="shared" ref="P5:P23" si="0">N5*O5/1000</f>
        <v>30</v>
      </c>
      <c r="Q5" s="39">
        <f t="shared" ref="Q5:Q23" si="1">$H$14*N5/1000</f>
        <v>1</v>
      </c>
      <c r="R5" s="30"/>
      <c r="S5" s="43">
        <f>IFERROR(VLOOKUP(I5,'Mortality Table Latest'!$A$3:$E$123,4,FALSE)*1000,1)</f>
        <v>1.875</v>
      </c>
      <c r="T5" s="49"/>
      <c r="U5" s="37">
        <f>IFERROR(X4,0)</f>
        <v>1</v>
      </c>
      <c r="V5" s="37">
        <f>U5*S5/1000</f>
        <v>1.8749999999999999E-3</v>
      </c>
      <c r="W5" s="37"/>
      <c r="X5" s="36">
        <f>U5-SUM(V5:W5)</f>
        <v>0.99812500000000004</v>
      </c>
      <c r="Y5" s="36"/>
      <c r="Z5" s="6">
        <f>AB4</f>
        <v>80</v>
      </c>
      <c r="AA5" s="6">
        <f>AC4</f>
        <v>1</v>
      </c>
      <c r="AB5" s="6">
        <f t="shared" ref="AB5:AB64" si="2">P5*X5</f>
        <v>29.943750000000001</v>
      </c>
      <c r="AC5" s="6">
        <f t="shared" ref="AC5:AC64" si="3">Q5*X5</f>
        <v>0.99812500000000004</v>
      </c>
      <c r="AD5" s="36"/>
      <c r="AE5" s="6">
        <f t="shared" ref="AE5:AE24" si="4">$X5*K5</f>
        <v>0</v>
      </c>
      <c r="AF5" s="6">
        <f t="shared" ref="AF5:AF20" si="5">-$X5*L5</f>
        <v>0</v>
      </c>
      <c r="AG5" s="6">
        <f t="shared" ref="AG5:AG20" si="6">-$X5*M5</f>
        <v>-49.90625</v>
      </c>
      <c r="AH5" s="6">
        <f>-V5*N5</f>
        <v>-187.5</v>
      </c>
      <c r="AI5" s="6">
        <f>SUM(AE5:AH5)</f>
        <v>-237.40625</v>
      </c>
      <c r="AJ5" s="6">
        <f>-N5*$X4*(O5-O4)/1000</f>
        <v>50</v>
      </c>
      <c r="AK5" s="6">
        <f>$D$6*SUM(Z5:AA5,AE5:AF5)</f>
        <v>2.4056999999999999</v>
      </c>
      <c r="AL5" s="6">
        <f t="shared" ref="AL5:AL14" si="7">SUM(AI5:AK5)</f>
        <v>-185.00055</v>
      </c>
      <c r="AM5" s="6">
        <f t="shared" ref="AM5:AM24" si="8">AA5-AC5</f>
        <v>1.87499999999996E-3</v>
      </c>
      <c r="AN5" s="6">
        <f t="shared" ref="AN5:AN24" si="9">AL5+AM5</f>
        <v>-184.99867499999999</v>
      </c>
      <c r="AO5" t="s">
        <v>46</v>
      </c>
      <c r="AP5" s="28"/>
      <c r="AR5" s="126">
        <v>2023</v>
      </c>
      <c r="AS5" s="23">
        <f>AH5</f>
        <v>-187.5</v>
      </c>
      <c r="AT5" s="32">
        <f>INDEX('WL Non-Smoker Mortality Exp'!$A$25:$U$45,MATCH('Whole Life Non Smoker'!AR5,'WL Non-Smoker Mortality Exp'!$A$25:$A$45,0),MATCH('Whole Life Non Smoker'!$E$4,'WL Non-Smoker Mortality Exp'!$A$25:$U$25,0))</f>
        <v>210</v>
      </c>
      <c r="AU5" s="127">
        <f t="shared" ref="AU5:AU23" si="10">AS5*AT5</f>
        <v>-39375</v>
      </c>
      <c r="AV5" s="32"/>
      <c r="AW5" s="32"/>
      <c r="AX5" s="23"/>
    </row>
    <row r="6" spans="1:51" x14ac:dyDescent="0.15">
      <c r="A6" s="15" t="s">
        <v>47</v>
      </c>
      <c r="B6" s="15"/>
      <c r="C6" s="15"/>
      <c r="D6" s="110">
        <v>2.9700000000000001E-2</v>
      </c>
      <c r="E6" s="8"/>
      <c r="F6" s="8"/>
      <c r="G6" s="8"/>
      <c r="H6" s="2"/>
      <c r="I6" s="14">
        <f t="shared" ref="I6:I64" si="11">$E$4+J6-1</f>
        <v>47</v>
      </c>
      <c r="J6" s="3">
        <f t="shared" ref="J6:J64" si="12">J5+1</f>
        <v>2</v>
      </c>
      <c r="K6" s="13"/>
      <c r="L6" s="13"/>
      <c r="M6" s="26">
        <v>50</v>
      </c>
      <c r="N6" s="13">
        <f t="shared" ref="N6:N64" si="13">$E$11</f>
        <v>100000</v>
      </c>
      <c r="O6" s="30">
        <v>0.4</v>
      </c>
      <c r="P6" s="39">
        <f t="shared" si="0"/>
        <v>40</v>
      </c>
      <c r="Q6" s="39">
        <f t="shared" si="1"/>
        <v>1</v>
      </c>
      <c r="R6" s="30"/>
      <c r="S6" s="43">
        <f>IFERROR(VLOOKUP(I6,'Mortality Table Latest'!$A$3:$E$123,4,FALSE)*1000,1)</f>
        <v>2.056</v>
      </c>
      <c r="T6" s="33"/>
      <c r="U6" s="37">
        <f t="shared" ref="U6:U64" si="14">IFERROR(X5,0)</f>
        <v>0.99812500000000004</v>
      </c>
      <c r="V6" s="37">
        <f t="shared" ref="V6:V64" si="15">U6*S6/1000</f>
        <v>2.0521450000000004E-3</v>
      </c>
      <c r="W6" s="37"/>
      <c r="X6" s="36">
        <f>U6-SUM(V6:W6)</f>
        <v>0.99607285500000009</v>
      </c>
      <c r="Y6" s="36"/>
      <c r="Z6" s="6">
        <f t="shared" ref="Z6:AA21" si="16">AB5</f>
        <v>29.943750000000001</v>
      </c>
      <c r="AA6" s="6">
        <f t="shared" si="16"/>
        <v>0.99812500000000004</v>
      </c>
      <c r="AB6" s="6">
        <f t="shared" si="2"/>
        <v>39.842914200000003</v>
      </c>
      <c r="AC6" s="6">
        <f t="shared" si="3"/>
        <v>0.99607285500000009</v>
      </c>
      <c r="AD6" s="36"/>
      <c r="AE6" s="6">
        <f t="shared" si="4"/>
        <v>0</v>
      </c>
      <c r="AF6" s="6">
        <f t="shared" si="5"/>
        <v>0</v>
      </c>
      <c r="AG6" s="6">
        <f t="shared" si="6"/>
        <v>-49.803642750000002</v>
      </c>
      <c r="AH6" s="6">
        <f>-V6*N6</f>
        <v>-205.21450000000004</v>
      </c>
      <c r="AI6" s="6">
        <f t="shared" ref="AI6:AI13" si="17">SUM(AE6:AH6)</f>
        <v>-255.01814275000004</v>
      </c>
      <c r="AJ6" s="6">
        <f>-N6*($X5*O6-$X4*O5)/1000</f>
        <v>-9.925000000000006</v>
      </c>
      <c r="AK6" s="6">
        <f t="shared" ref="AK6:AK24" si="18">$D$6*SUM(Z6:AA6,AE6:AF6)</f>
        <v>0.91897368750000008</v>
      </c>
      <c r="AL6" s="6">
        <f t="shared" si="7"/>
        <v>-264.02416906250005</v>
      </c>
      <c r="AM6" s="6">
        <f t="shared" si="8"/>
        <v>2.0521449999999497E-3</v>
      </c>
      <c r="AN6" s="6">
        <f t="shared" si="9"/>
        <v>-264.02211691750006</v>
      </c>
      <c r="AP6" s="41">
        <f>AL106</f>
        <v>24004.04011291331</v>
      </c>
      <c r="AR6" s="126">
        <f>AR5-1</f>
        <v>2022</v>
      </c>
      <c r="AS6" s="23">
        <f>SUM($AH$5:AH6)</f>
        <v>-392.71450000000004</v>
      </c>
      <c r="AT6" s="32">
        <f>INDEX('WL Non-Smoker Mortality Exp'!$A$25:$U$45,MATCH('Whole Life Non Smoker'!AR6,'WL Non-Smoker Mortality Exp'!$A$25:$A$45,0),MATCH('Whole Life Non Smoker'!$E$4,'WL Non-Smoker Mortality Exp'!$A$25:$U$25,0))</f>
        <v>186</v>
      </c>
      <c r="AU6" s="127">
        <f t="shared" si="10"/>
        <v>-73044.897000000012</v>
      </c>
      <c r="AV6" s="32"/>
      <c r="AW6" s="32"/>
      <c r="AX6" s="23"/>
    </row>
    <row r="7" spans="1:51" x14ac:dyDescent="0.15">
      <c r="A7" s="19" t="s">
        <v>48</v>
      </c>
      <c r="B7" s="19"/>
      <c r="C7" s="79"/>
      <c r="D7" s="11">
        <v>5.5E-2</v>
      </c>
      <c r="E7" s="8"/>
      <c r="F7" s="8"/>
      <c r="G7" s="8"/>
      <c r="H7" s="47"/>
      <c r="I7" s="14">
        <f t="shared" si="11"/>
        <v>48</v>
      </c>
      <c r="J7" s="3">
        <f t="shared" si="12"/>
        <v>3</v>
      </c>
      <c r="K7" s="13"/>
      <c r="L7" s="13"/>
      <c r="M7" s="26">
        <v>50</v>
      </c>
      <c r="N7" s="13">
        <f t="shared" si="13"/>
        <v>100000</v>
      </c>
      <c r="O7" s="30">
        <v>0.4</v>
      </c>
      <c r="P7" s="39">
        <f t="shared" si="0"/>
        <v>40</v>
      </c>
      <c r="Q7" s="39">
        <f t="shared" si="1"/>
        <v>1</v>
      </c>
      <c r="R7" s="30"/>
      <c r="S7" s="43">
        <f>IFERROR(VLOOKUP(I7,'Mortality Table Latest'!$A$3:$E$123,4,FALSE)*1000,1)</f>
        <v>2.2469999999999999</v>
      </c>
      <c r="T7" s="33"/>
      <c r="U7" s="37">
        <f t="shared" si="14"/>
        <v>0.99607285500000009</v>
      </c>
      <c r="V7" s="37">
        <f t="shared" si="15"/>
        <v>2.238175705185E-3</v>
      </c>
      <c r="W7" s="37"/>
      <c r="X7" s="36">
        <f t="shared" ref="X7:X64" si="19">U7-SUM(V7:W7)</f>
        <v>0.99383467929481506</v>
      </c>
      <c r="Y7" s="36"/>
      <c r="Z7" s="6">
        <f t="shared" si="16"/>
        <v>39.842914200000003</v>
      </c>
      <c r="AA7" s="6">
        <f t="shared" si="16"/>
        <v>0.99607285500000009</v>
      </c>
      <c r="AB7" s="6">
        <f t="shared" si="2"/>
        <v>39.753387171792603</v>
      </c>
      <c r="AC7" s="6">
        <f t="shared" si="3"/>
        <v>0.99383467929481506</v>
      </c>
      <c r="AD7" s="36"/>
      <c r="AE7" s="6">
        <f t="shared" si="4"/>
        <v>0</v>
      </c>
      <c r="AF7" s="6">
        <f t="shared" si="5"/>
        <v>0</v>
      </c>
      <c r="AG7" s="6">
        <f t="shared" si="6"/>
        <v>-49.691733964740756</v>
      </c>
      <c r="AH7" s="6">
        <f t="shared" ref="AH7:AH64" si="20">-V7*N7</f>
        <v>-223.81757051849999</v>
      </c>
      <c r="AI7" s="6">
        <f t="shared" si="17"/>
        <v>-273.50930448324073</v>
      </c>
      <c r="AJ7" s="6">
        <f t="shared" ref="AJ7:AJ64" si="21">-N7*($X6*O7-$X5*O6)/1000</f>
        <v>8.2085799999997988E-2</v>
      </c>
      <c r="AK7" s="6">
        <f t="shared" si="18"/>
        <v>1.2129179155335001</v>
      </c>
      <c r="AL7" s="6">
        <f t="shared" si="7"/>
        <v>-272.21430076770719</v>
      </c>
      <c r="AM7" s="6">
        <f t="shared" si="8"/>
        <v>2.2381757051850304E-3</v>
      </c>
      <c r="AN7" s="6">
        <f t="shared" si="9"/>
        <v>-272.21206259200198</v>
      </c>
      <c r="AR7" s="126">
        <f t="shared" ref="AR7:AR22" si="22">AR6-1</f>
        <v>2021</v>
      </c>
      <c r="AS7" s="23">
        <f>SUM($AH$5:AH7)</f>
        <v>-616.53207051850006</v>
      </c>
      <c r="AT7" s="32">
        <f>INDEX('WL Non-Smoker Mortality Exp'!$A$25:$U$45,MATCH('Whole Life Non Smoker'!AR7,'WL Non-Smoker Mortality Exp'!$A$25:$A$45,0),MATCH('Whole Life Non Smoker'!$E$4,'WL Non-Smoker Mortality Exp'!$A$25:$U$25,0))</f>
        <v>175</v>
      </c>
      <c r="AU7" s="127">
        <f t="shared" si="10"/>
        <v>-107893.11234073751</v>
      </c>
      <c r="AV7" s="32"/>
      <c r="AW7" s="32"/>
      <c r="AX7" s="23"/>
    </row>
    <row r="8" spans="1:51" x14ac:dyDescent="0.15">
      <c r="A8" s="15" t="s">
        <v>49</v>
      </c>
      <c r="B8" s="15"/>
      <c r="C8" s="16"/>
      <c r="D8" s="2"/>
      <c r="E8" s="2"/>
      <c r="F8" s="2"/>
      <c r="G8" s="2"/>
      <c r="H8" s="2"/>
      <c r="I8" s="14">
        <f t="shared" si="11"/>
        <v>49</v>
      </c>
      <c r="J8" s="3">
        <f t="shared" si="12"/>
        <v>4</v>
      </c>
      <c r="K8" s="13"/>
      <c r="L8" s="13"/>
      <c r="M8" s="26">
        <v>50</v>
      </c>
      <c r="N8" s="13">
        <f t="shared" si="13"/>
        <v>100000</v>
      </c>
      <c r="O8" s="30">
        <v>0.4</v>
      </c>
      <c r="P8" s="39">
        <f t="shared" si="0"/>
        <v>40</v>
      </c>
      <c r="Q8" s="39">
        <f t="shared" si="1"/>
        <v>1</v>
      </c>
      <c r="R8" s="30"/>
      <c r="S8" s="43">
        <f>IFERROR(VLOOKUP(I8,'Mortality Table Latest'!$A$3:$E$123,4,FALSE)*1000,1)</f>
        <v>2.4569999999999999</v>
      </c>
      <c r="T8" s="33"/>
      <c r="U8" s="37">
        <f t="shared" si="14"/>
        <v>0.99383467929481506</v>
      </c>
      <c r="V8" s="37">
        <f t="shared" si="15"/>
        <v>2.4418518070273604E-3</v>
      </c>
      <c r="W8" s="37"/>
      <c r="X8" s="36">
        <f t="shared" si="19"/>
        <v>0.99139282748778768</v>
      </c>
      <c r="Y8" s="36"/>
      <c r="Z8" s="6">
        <f t="shared" si="16"/>
        <v>39.753387171792603</v>
      </c>
      <c r="AA8" s="6">
        <f t="shared" si="16"/>
        <v>0.99383467929481506</v>
      </c>
      <c r="AB8" s="6">
        <f t="shared" si="2"/>
        <v>39.655713099511509</v>
      </c>
      <c r="AC8" s="6">
        <f t="shared" si="3"/>
        <v>0.99139282748778768</v>
      </c>
      <c r="AD8" s="36"/>
      <c r="AE8" s="6">
        <f t="shared" si="4"/>
        <v>0</v>
      </c>
      <c r="AF8" s="6">
        <f t="shared" si="5"/>
        <v>0</v>
      </c>
      <c r="AG8" s="6">
        <f t="shared" si="6"/>
        <v>-49.569641374389384</v>
      </c>
      <c r="AH8" s="6">
        <f t="shared" si="20"/>
        <v>-244.18518070273603</v>
      </c>
      <c r="AI8" s="6">
        <f t="shared" si="17"/>
        <v>-293.75482207712543</v>
      </c>
      <c r="AJ8" s="6">
        <f t="shared" si="21"/>
        <v>8.9527028207403436E-2</v>
      </c>
      <c r="AK8" s="6">
        <f t="shared" si="18"/>
        <v>1.2101924889772964</v>
      </c>
      <c r="AL8" s="6">
        <f t="shared" si="7"/>
        <v>-292.45510255994077</v>
      </c>
      <c r="AM8" s="6">
        <f t="shared" si="8"/>
        <v>2.4418518070273842E-3</v>
      </c>
      <c r="AN8" s="6">
        <f t="shared" si="9"/>
        <v>-292.45266070813375</v>
      </c>
      <c r="AR8" s="126">
        <f t="shared" si="22"/>
        <v>2020</v>
      </c>
      <c r="AS8" s="23">
        <f>SUM($AH$5:AH8)</f>
        <v>-860.7172512212361</v>
      </c>
      <c r="AT8" s="32">
        <f>INDEX('WL Non-Smoker Mortality Exp'!$A$25:$U$45,MATCH('Whole Life Non Smoker'!AR8,'WL Non-Smoker Mortality Exp'!$A$25:$A$45,0),MATCH('Whole Life Non Smoker'!$E$4,'WL Non-Smoker Mortality Exp'!$A$25:$U$25,0))</f>
        <v>190</v>
      </c>
      <c r="AU8" s="127">
        <f t="shared" si="10"/>
        <v>-163536.27773203485</v>
      </c>
      <c r="AV8" s="32"/>
      <c r="AW8" s="32"/>
      <c r="AX8" s="23"/>
    </row>
    <row r="9" spans="1:51" x14ac:dyDescent="0.15">
      <c r="A9" s="15"/>
      <c r="B9" s="16" t="s">
        <v>50</v>
      </c>
      <c r="C9" s="16" t="s">
        <v>51</v>
      </c>
      <c r="D9" s="2"/>
      <c r="E9" s="2"/>
      <c r="F9" s="2"/>
      <c r="G9" s="2"/>
      <c r="H9" s="2"/>
      <c r="I9" s="14">
        <f t="shared" si="11"/>
        <v>50</v>
      </c>
      <c r="J9" s="3">
        <f t="shared" si="12"/>
        <v>5</v>
      </c>
      <c r="K9" s="13"/>
      <c r="L9" s="13"/>
      <c r="M9" s="26">
        <v>50</v>
      </c>
      <c r="N9" s="13">
        <f>$E$11</f>
        <v>100000</v>
      </c>
      <c r="O9" s="30">
        <v>0.4</v>
      </c>
      <c r="P9" s="39">
        <f t="shared" si="0"/>
        <v>40</v>
      </c>
      <c r="Q9" s="39">
        <f t="shared" si="1"/>
        <v>1</v>
      </c>
      <c r="R9" s="30"/>
      <c r="S9" s="43">
        <f>IFERROR(VLOOKUP(I9,'Mortality Table Latest'!$A$3:$E$123,4,FALSE)*1000,1)</f>
        <v>2.6819999999999999</v>
      </c>
      <c r="T9" s="33"/>
      <c r="U9" s="37">
        <f t="shared" si="14"/>
        <v>0.99139282748778768</v>
      </c>
      <c r="V9" s="37">
        <f t="shared" si="15"/>
        <v>2.6589155633222465E-3</v>
      </c>
      <c r="W9" s="37"/>
      <c r="X9" s="36">
        <f t="shared" si="19"/>
        <v>0.98873391192446547</v>
      </c>
      <c r="Y9" s="36"/>
      <c r="Z9" s="6">
        <f t="shared" si="16"/>
        <v>39.655713099511509</v>
      </c>
      <c r="AA9" s="6">
        <f t="shared" si="16"/>
        <v>0.99139282748778768</v>
      </c>
      <c r="AB9" s="6">
        <f t="shared" si="2"/>
        <v>39.549356476978616</v>
      </c>
      <c r="AC9" s="6">
        <f t="shared" si="3"/>
        <v>0.98873391192446547</v>
      </c>
      <c r="AD9" s="36"/>
      <c r="AE9" s="6">
        <f t="shared" si="4"/>
        <v>0</v>
      </c>
      <c r="AF9" s="6">
        <f t="shared" si="5"/>
        <v>0</v>
      </c>
      <c r="AG9" s="6">
        <f t="shared" si="6"/>
        <v>-49.436695596223274</v>
      </c>
      <c r="AH9" s="6">
        <f t="shared" si="20"/>
        <v>-265.89155633222464</v>
      </c>
      <c r="AI9" s="6">
        <f t="shared" si="17"/>
        <v>-315.32825192844791</v>
      </c>
      <c r="AJ9" s="6">
        <f t="shared" si="21"/>
        <v>9.7674072281095356E-2</v>
      </c>
      <c r="AK9" s="6">
        <f t="shared" si="18"/>
        <v>1.207219046031879</v>
      </c>
      <c r="AL9" s="6">
        <f t="shared" si="7"/>
        <v>-314.02335881013494</v>
      </c>
      <c r="AM9" s="6">
        <f t="shared" si="8"/>
        <v>2.6589155633222061E-3</v>
      </c>
      <c r="AN9" s="6">
        <f t="shared" si="9"/>
        <v>-314.02069989457164</v>
      </c>
      <c r="AR9" s="126">
        <f t="shared" si="22"/>
        <v>2019</v>
      </c>
      <c r="AS9" s="23">
        <f>SUM($AH$5:AH9)</f>
        <v>-1126.6088075534608</v>
      </c>
      <c r="AT9" s="32">
        <f>INDEX('WL Non-Smoker Mortality Exp'!$A$25:$U$45,MATCH('Whole Life Non Smoker'!AR9,'WL Non-Smoker Mortality Exp'!$A$25:$A$45,0),MATCH('Whole Life Non Smoker'!$E$4,'WL Non-Smoker Mortality Exp'!$A$25:$U$25,0))</f>
        <v>166</v>
      </c>
      <c r="AU9" s="127">
        <f t="shared" si="10"/>
        <v>-187017.06205387448</v>
      </c>
      <c r="AV9" s="32"/>
      <c r="AW9" s="32"/>
      <c r="AX9" s="23"/>
    </row>
    <row r="10" spans="1:51" x14ac:dyDescent="0.15">
      <c r="A10" s="15"/>
      <c r="B10" s="16">
        <v>1</v>
      </c>
      <c r="C10" s="80">
        <v>7.0000000000000007E-2</v>
      </c>
      <c r="D10" s="2"/>
      <c r="E10" s="53" t="s">
        <v>52</v>
      </c>
      <c r="F10" s="20"/>
      <c r="G10" s="2"/>
      <c r="H10" s="2"/>
      <c r="I10" s="14">
        <f t="shared" si="11"/>
        <v>51</v>
      </c>
      <c r="J10" s="3">
        <f t="shared" si="12"/>
        <v>6</v>
      </c>
      <c r="K10" s="13"/>
      <c r="L10" s="13"/>
      <c r="M10" s="26">
        <v>50</v>
      </c>
      <c r="N10" s="13">
        <f t="shared" si="13"/>
        <v>100000</v>
      </c>
      <c r="O10" s="30">
        <v>0.4</v>
      </c>
      <c r="P10" s="39">
        <f t="shared" si="0"/>
        <v>40</v>
      </c>
      <c r="Q10" s="39">
        <f t="shared" si="1"/>
        <v>1</v>
      </c>
      <c r="R10" s="30"/>
      <c r="S10" s="43">
        <f>IFERROR(VLOOKUP(I10,'Mortality Table Latest'!$A$3:$E$123,4,FALSE)*1000,1)</f>
        <v>2.9409999999999998</v>
      </c>
      <c r="T10" s="33"/>
      <c r="U10" s="37">
        <f t="shared" si="14"/>
        <v>0.98873391192446547</v>
      </c>
      <c r="V10" s="37">
        <f t="shared" si="15"/>
        <v>2.9078664349698529E-3</v>
      </c>
      <c r="W10" s="37"/>
      <c r="X10" s="36">
        <f t="shared" si="19"/>
        <v>0.98582604548949559</v>
      </c>
      <c r="Y10" s="36"/>
      <c r="Z10" s="6">
        <f t="shared" si="16"/>
        <v>39.549356476978616</v>
      </c>
      <c r="AA10" s="6">
        <f t="shared" si="16"/>
        <v>0.98873391192446547</v>
      </c>
      <c r="AB10" s="6">
        <f t="shared" si="2"/>
        <v>39.433041819579827</v>
      </c>
      <c r="AC10" s="6">
        <f t="shared" si="3"/>
        <v>0.98582604548949559</v>
      </c>
      <c r="AD10" s="36"/>
      <c r="AE10" s="6">
        <f t="shared" si="4"/>
        <v>0</v>
      </c>
      <c r="AF10" s="6">
        <f t="shared" si="5"/>
        <v>0</v>
      </c>
      <c r="AG10" s="6">
        <f t="shared" si="6"/>
        <v>-49.291302274474781</v>
      </c>
      <c r="AH10" s="6">
        <f t="shared" si="20"/>
        <v>-290.78664349698528</v>
      </c>
      <c r="AI10" s="6">
        <f t="shared" si="17"/>
        <v>-340.07794577146007</v>
      </c>
      <c r="AJ10" s="6">
        <f t="shared" si="21"/>
        <v>0.10635662253288826</v>
      </c>
      <c r="AK10" s="6">
        <f t="shared" si="18"/>
        <v>1.2039812845504214</v>
      </c>
      <c r="AL10" s="6">
        <f t="shared" si="7"/>
        <v>-338.76760786437677</v>
      </c>
      <c r="AM10" s="6">
        <f t="shared" si="8"/>
        <v>2.9078664349698746E-3</v>
      </c>
      <c r="AN10" s="6">
        <f t="shared" si="9"/>
        <v>-338.76469999794182</v>
      </c>
      <c r="AR10" s="126">
        <f t="shared" si="22"/>
        <v>2018</v>
      </c>
      <c r="AS10" s="23">
        <f>SUM($AH$5:AH10)</f>
        <v>-1417.3954510504461</v>
      </c>
      <c r="AT10" s="32">
        <f>INDEX('WL Non-Smoker Mortality Exp'!$A$25:$U$45,MATCH('Whole Life Non Smoker'!AR10,'WL Non-Smoker Mortality Exp'!$A$25:$A$45,0),MATCH('Whole Life Non Smoker'!$E$4,'WL Non-Smoker Mortality Exp'!$A$25:$U$25,0))</f>
        <v>133</v>
      </c>
      <c r="AU10" s="127">
        <f t="shared" si="10"/>
        <v>-188513.59498970932</v>
      </c>
      <c r="AV10" s="32"/>
      <c r="AW10" s="32"/>
      <c r="AX10" s="23"/>
    </row>
    <row r="11" spans="1:51" x14ac:dyDescent="0.15">
      <c r="A11" s="15"/>
      <c r="B11" s="17" t="s">
        <v>53</v>
      </c>
      <c r="C11" s="80">
        <v>0.06</v>
      </c>
      <c r="D11" s="2"/>
      <c r="E11" s="101">
        <f>VLOOKUP(E4,F111:N131,3,FALSE)</f>
        <v>100000</v>
      </c>
      <c r="F11" s="20"/>
      <c r="G11" s="2"/>
      <c r="H11" s="2"/>
      <c r="I11" s="14">
        <f t="shared" si="11"/>
        <v>52</v>
      </c>
      <c r="J11" s="3">
        <f t="shared" si="12"/>
        <v>7</v>
      </c>
      <c r="K11" s="13"/>
      <c r="L11" s="13"/>
      <c r="M11" s="26">
        <v>50</v>
      </c>
      <c r="N11" s="13">
        <f t="shared" si="13"/>
        <v>100000</v>
      </c>
      <c r="O11" s="30">
        <v>0.3</v>
      </c>
      <c r="P11" s="39">
        <f t="shared" si="0"/>
        <v>30</v>
      </c>
      <c r="Q11" s="39">
        <f t="shared" si="1"/>
        <v>1</v>
      </c>
      <c r="R11" s="30"/>
      <c r="S11" s="43">
        <f>IFERROR(VLOOKUP(I11,'Mortality Table Latest'!$A$3:$E$123,4,FALSE)*1000,1)</f>
        <v>2.09</v>
      </c>
      <c r="T11" s="33"/>
      <c r="U11" s="37">
        <f t="shared" si="14"/>
        <v>0.98582604548949559</v>
      </c>
      <c r="V11" s="37">
        <f t="shared" si="15"/>
        <v>2.0603764350730458E-3</v>
      </c>
      <c r="W11" s="37"/>
      <c r="X11" s="36">
        <f t="shared" si="19"/>
        <v>0.98376566905442253</v>
      </c>
      <c r="Y11" s="36"/>
      <c r="Z11" s="6">
        <f t="shared" si="16"/>
        <v>39.433041819579827</v>
      </c>
      <c r="AA11" s="6">
        <f t="shared" si="16"/>
        <v>0.98582604548949559</v>
      </c>
      <c r="AB11" s="6">
        <f t="shared" si="2"/>
        <v>29.512970071632676</v>
      </c>
      <c r="AC11" s="6">
        <f t="shared" si="3"/>
        <v>0.98376566905442253</v>
      </c>
      <c r="AD11" s="36"/>
      <c r="AE11" s="6">
        <f t="shared" si="4"/>
        <v>0</v>
      </c>
      <c r="AF11" s="6">
        <f t="shared" si="5"/>
        <v>0</v>
      </c>
      <c r="AG11" s="6">
        <f t="shared" si="6"/>
        <v>-49.188283452721123</v>
      </c>
      <c r="AH11" s="6">
        <f t="shared" si="20"/>
        <v>-206.03764350730458</v>
      </c>
      <c r="AI11" s="6">
        <f t="shared" si="17"/>
        <v>-255.2259269600257</v>
      </c>
      <c r="AJ11" s="6">
        <f t="shared" si="21"/>
        <v>9.9745751122937545</v>
      </c>
      <c r="AK11" s="6">
        <f t="shared" si="18"/>
        <v>1.200440375592559</v>
      </c>
      <c r="AL11" s="6">
        <f>SUM(AI11:AK11)</f>
        <v>-244.05091147213938</v>
      </c>
      <c r="AM11" s="6">
        <f t="shared" si="8"/>
        <v>2.0603764350730636E-3</v>
      </c>
      <c r="AN11" s="6">
        <f t="shared" si="9"/>
        <v>-244.04885109570429</v>
      </c>
      <c r="AR11" s="126">
        <f t="shared" si="22"/>
        <v>2017</v>
      </c>
      <c r="AS11" s="23">
        <f>SUM($AH$5:AH11)</f>
        <v>-1623.4330945577508</v>
      </c>
      <c r="AT11" s="32">
        <f>INDEX('WL Non-Smoker Mortality Exp'!$A$25:$U$45,MATCH('Whole Life Non Smoker'!AR11,'WL Non-Smoker Mortality Exp'!$A$25:$A$45,0),MATCH('Whole Life Non Smoker'!$E$4,'WL Non-Smoker Mortality Exp'!$A$25:$U$25,0))</f>
        <v>128</v>
      </c>
      <c r="AU11" s="127">
        <f t="shared" si="10"/>
        <v>-207799.4361033921</v>
      </c>
      <c r="AV11" s="32"/>
      <c r="AW11" s="32"/>
      <c r="AX11" s="23"/>
    </row>
    <row r="12" spans="1:51" x14ac:dyDescent="0.15">
      <c r="A12" s="15"/>
      <c r="B12" s="17" t="s">
        <v>54</v>
      </c>
      <c r="C12" s="80">
        <v>0.05</v>
      </c>
      <c r="D12" s="2"/>
      <c r="E12" s="2"/>
      <c r="F12" s="2"/>
      <c r="G12" s="2"/>
      <c r="H12" s="2"/>
      <c r="I12" s="14">
        <f t="shared" si="11"/>
        <v>53</v>
      </c>
      <c r="J12" s="3">
        <f t="shared" si="12"/>
        <v>8</v>
      </c>
      <c r="K12" s="13"/>
      <c r="L12" s="13"/>
      <c r="M12" s="26">
        <v>50</v>
      </c>
      <c r="N12" s="13">
        <f t="shared" si="13"/>
        <v>100000</v>
      </c>
      <c r="O12" s="30">
        <v>0.2</v>
      </c>
      <c r="P12" s="39">
        <f t="shared" si="0"/>
        <v>20</v>
      </c>
      <c r="Q12" s="39">
        <f t="shared" si="1"/>
        <v>1</v>
      </c>
      <c r="R12" s="30"/>
      <c r="S12" s="43">
        <f>IFERROR(VLOOKUP(I12,'Mortality Table Latest'!$A$3:$E$123,4,FALSE)*1000,1)</f>
        <v>2.2999999999999998</v>
      </c>
      <c r="T12" s="33"/>
      <c r="U12" s="37">
        <f t="shared" si="14"/>
        <v>0.98376566905442253</v>
      </c>
      <c r="V12" s="37">
        <f t="shared" si="15"/>
        <v>2.2626610388251714E-3</v>
      </c>
      <c r="W12" s="37"/>
      <c r="X12" s="36">
        <f t="shared" si="19"/>
        <v>0.98150300801559731</v>
      </c>
      <c r="Y12" s="36"/>
      <c r="Z12" s="6">
        <f t="shared" si="16"/>
        <v>29.512970071632676</v>
      </c>
      <c r="AA12" s="6">
        <f t="shared" si="16"/>
        <v>0.98376566905442253</v>
      </c>
      <c r="AB12" s="6">
        <f t="shared" si="2"/>
        <v>19.630060160311945</v>
      </c>
      <c r="AC12" s="6">
        <f t="shared" si="3"/>
        <v>0.98150300801559731</v>
      </c>
      <c r="AD12" s="36"/>
      <c r="AE12" s="6">
        <f t="shared" si="4"/>
        <v>0</v>
      </c>
      <c r="AF12" s="6">
        <f t="shared" si="5"/>
        <v>0</v>
      </c>
      <c r="AG12" s="6">
        <f t="shared" si="6"/>
        <v>-49.075150400779869</v>
      </c>
      <c r="AH12" s="6">
        <f t="shared" si="20"/>
        <v>-226.26610388251714</v>
      </c>
      <c r="AI12" s="6">
        <f t="shared" si="17"/>
        <v>-275.34125428329702</v>
      </c>
      <c r="AJ12" s="6">
        <f t="shared" si="21"/>
        <v>9.8994679835964128</v>
      </c>
      <c r="AK12" s="6">
        <f t="shared" si="18"/>
        <v>0.9057530514984069</v>
      </c>
      <c r="AL12" s="6">
        <f t="shared" si="7"/>
        <v>-264.53603324820222</v>
      </c>
      <c r="AM12" s="6">
        <f t="shared" si="8"/>
        <v>2.26266103882522E-3</v>
      </c>
      <c r="AN12" s="6">
        <f>AL12+AM12</f>
        <v>-264.53377058716342</v>
      </c>
      <c r="AR12" s="126">
        <f t="shared" si="22"/>
        <v>2016</v>
      </c>
      <c r="AS12" s="23">
        <f>SUM($AH$5:AH12)</f>
        <v>-1849.699198440268</v>
      </c>
      <c r="AT12" s="32">
        <f>INDEX('WL Non-Smoker Mortality Exp'!$A$25:$U$45,MATCH('Whole Life Non Smoker'!AR12,'WL Non-Smoker Mortality Exp'!$A$25:$A$45,0),MATCH('Whole Life Non Smoker'!$E$4,'WL Non-Smoker Mortality Exp'!$A$25:$U$25,0))</f>
        <v>115</v>
      </c>
      <c r="AU12" s="127">
        <f t="shared" si="10"/>
        <v>-212715.40782063082</v>
      </c>
      <c r="AV12" s="32"/>
      <c r="AW12" s="32"/>
      <c r="AX12" s="23"/>
    </row>
    <row r="13" spans="1:51" x14ac:dyDescent="0.15">
      <c r="A13" s="15"/>
      <c r="B13" s="16" t="s">
        <v>55</v>
      </c>
      <c r="C13" s="80">
        <v>0.04</v>
      </c>
      <c r="D13" s="2"/>
      <c r="E13" s="2"/>
      <c r="F13" s="2"/>
      <c r="G13" s="2"/>
      <c r="H13" s="2"/>
      <c r="I13" s="14">
        <f t="shared" si="11"/>
        <v>54</v>
      </c>
      <c r="J13" s="3">
        <f t="shared" si="12"/>
        <v>9</v>
      </c>
      <c r="K13" s="13"/>
      <c r="L13" s="13"/>
      <c r="M13" s="26">
        <v>50</v>
      </c>
      <c r="N13" s="13">
        <f t="shared" si="13"/>
        <v>100000</v>
      </c>
      <c r="O13" s="30">
        <v>0.1</v>
      </c>
      <c r="P13" s="39">
        <f t="shared" si="0"/>
        <v>10</v>
      </c>
      <c r="Q13" s="39">
        <f t="shared" si="1"/>
        <v>1</v>
      </c>
      <c r="R13" s="30"/>
      <c r="S13" s="43">
        <f>IFERROR(VLOOKUP(I13,'Mortality Table Latest'!$A$3:$E$123,4,FALSE)*1000,1)</f>
        <v>2.54</v>
      </c>
      <c r="T13" s="33"/>
      <c r="U13" s="37">
        <f t="shared" si="14"/>
        <v>0.98150300801559731</v>
      </c>
      <c r="V13" s="37">
        <f t="shared" si="15"/>
        <v>2.4930176403596175E-3</v>
      </c>
      <c r="W13" s="37"/>
      <c r="X13" s="36">
        <f t="shared" si="19"/>
        <v>0.97900999037523773</v>
      </c>
      <c r="Y13" s="36"/>
      <c r="Z13" s="6">
        <f t="shared" si="16"/>
        <v>19.630060160311945</v>
      </c>
      <c r="AA13" s="6">
        <f t="shared" si="16"/>
        <v>0.98150300801559731</v>
      </c>
      <c r="AB13" s="6">
        <f t="shared" si="2"/>
        <v>9.7900999037523775</v>
      </c>
      <c r="AC13" s="6">
        <f t="shared" si="3"/>
        <v>0.97900999037523773</v>
      </c>
      <c r="AD13" s="36"/>
      <c r="AE13" s="6">
        <f t="shared" si="4"/>
        <v>0</v>
      </c>
      <c r="AF13" s="6">
        <f t="shared" si="5"/>
        <v>0</v>
      </c>
      <c r="AG13" s="6">
        <f t="shared" si="6"/>
        <v>-48.950499518761887</v>
      </c>
      <c r="AH13" s="6">
        <f t="shared" si="20"/>
        <v>-249.30176403596175</v>
      </c>
      <c r="AI13" s="6">
        <f t="shared" si="17"/>
        <v>-298.25226355472364</v>
      </c>
      <c r="AJ13" s="6">
        <f t="shared" si="21"/>
        <v>9.860283300932478</v>
      </c>
      <c r="AK13" s="6">
        <f t="shared" si="18"/>
        <v>0.61216342609932806</v>
      </c>
      <c r="AL13" s="6">
        <f t="shared" si="7"/>
        <v>-287.77981682769189</v>
      </c>
      <c r="AM13" s="6">
        <f t="shared" si="8"/>
        <v>2.493017640359585E-3</v>
      </c>
      <c r="AN13" s="6">
        <f t="shared" si="9"/>
        <v>-287.77732381005154</v>
      </c>
      <c r="AR13" s="126">
        <f t="shared" si="22"/>
        <v>2015</v>
      </c>
      <c r="AS13" s="23">
        <f>SUM($AH$5:AH13)</f>
        <v>-2099.0009624762297</v>
      </c>
      <c r="AT13" s="32">
        <f>INDEX('WL Non-Smoker Mortality Exp'!$A$25:$U$45,MATCH('Whole Life Non Smoker'!AR13,'WL Non-Smoker Mortality Exp'!$A$25:$A$45,0),MATCH('Whole Life Non Smoker'!$E$4,'WL Non-Smoker Mortality Exp'!$A$25:$U$25,0))</f>
        <v>105</v>
      </c>
      <c r="AU13" s="127">
        <f t="shared" si="10"/>
        <v>-220395.10106000412</v>
      </c>
      <c r="AV13" s="32"/>
      <c r="AW13" s="32"/>
      <c r="AX13" s="23"/>
      <c r="AY13" s="34"/>
    </row>
    <row r="14" spans="1:51" x14ac:dyDescent="0.15">
      <c r="A14" s="19" t="s">
        <v>56</v>
      </c>
      <c r="B14" s="20"/>
      <c r="C14" s="79"/>
      <c r="D14" s="2"/>
      <c r="E14" s="81" t="s">
        <v>57</v>
      </c>
      <c r="F14" s="16"/>
      <c r="G14" s="16"/>
      <c r="H14" s="22">
        <v>0.01</v>
      </c>
      <c r="I14" s="14">
        <f t="shared" si="11"/>
        <v>55</v>
      </c>
      <c r="J14" s="3">
        <f t="shared" si="12"/>
        <v>10</v>
      </c>
      <c r="K14" s="13"/>
      <c r="L14" s="13"/>
      <c r="M14" s="26">
        <v>50</v>
      </c>
      <c r="N14" s="13">
        <f t="shared" si="13"/>
        <v>100000</v>
      </c>
      <c r="O14" s="30">
        <v>0.1</v>
      </c>
      <c r="P14" s="39">
        <f t="shared" si="0"/>
        <v>10</v>
      </c>
      <c r="Q14" s="39">
        <f t="shared" si="1"/>
        <v>1</v>
      </c>
      <c r="R14" s="30"/>
      <c r="S14" s="43">
        <f>IFERROR(VLOOKUP(I14,'Mortality Table Latest'!$A$3:$E$123,4,FALSE)*1000,1)</f>
        <v>2.8109999999999999</v>
      </c>
      <c r="T14" s="33"/>
      <c r="U14" s="37">
        <f t="shared" si="14"/>
        <v>0.97900999037523773</v>
      </c>
      <c r="V14" s="37">
        <f t="shared" si="15"/>
        <v>2.7519970829447929E-3</v>
      </c>
      <c r="W14" s="37"/>
      <c r="X14" s="36">
        <f t="shared" si="19"/>
        <v>0.9762579932922929</v>
      </c>
      <c r="Y14" s="36"/>
      <c r="Z14" s="6">
        <f t="shared" si="16"/>
        <v>9.7900999037523775</v>
      </c>
      <c r="AA14" s="6">
        <f t="shared" si="16"/>
        <v>0.97900999037523773</v>
      </c>
      <c r="AB14" s="6">
        <f t="shared" si="2"/>
        <v>9.7625799329229288</v>
      </c>
      <c r="AC14" s="6">
        <f t="shared" si="3"/>
        <v>0.9762579932922929</v>
      </c>
      <c r="AD14" s="36"/>
      <c r="AE14" s="6">
        <f t="shared" si="4"/>
        <v>0</v>
      </c>
      <c r="AF14" s="6">
        <f t="shared" si="5"/>
        <v>0</v>
      </c>
      <c r="AG14" s="6">
        <f t="shared" si="6"/>
        <v>-48.812899664614648</v>
      </c>
      <c r="AH14" s="6">
        <f t="shared" si="20"/>
        <v>-275.19970829447931</v>
      </c>
      <c r="AI14" s="6">
        <f>SUM(AE14:AH14)</f>
        <v>-324.01260795909394</v>
      </c>
      <c r="AJ14" s="6">
        <f t="shared" si="21"/>
        <v>2.4930176403595294E-2</v>
      </c>
      <c r="AK14" s="6">
        <f t="shared" si="18"/>
        <v>0.31984256385559018</v>
      </c>
      <c r="AL14" s="6">
        <f t="shared" si="7"/>
        <v>-323.66783521883474</v>
      </c>
      <c r="AM14" s="6">
        <f t="shared" si="8"/>
        <v>2.7519970829448237E-3</v>
      </c>
      <c r="AN14" s="6">
        <f t="shared" si="9"/>
        <v>-323.66508322175179</v>
      </c>
      <c r="AR14" s="126">
        <f t="shared" si="22"/>
        <v>2014</v>
      </c>
      <c r="AS14" s="23">
        <f>SUM($AH$5:AH14)</f>
        <v>-2374.2006707707092</v>
      </c>
      <c r="AT14" s="32">
        <f>INDEX('WL Non-Smoker Mortality Exp'!$A$25:$U$45,MATCH('Whole Life Non Smoker'!AR14,'WL Non-Smoker Mortality Exp'!$A$25:$A$45,0),MATCH('Whole Life Non Smoker'!$E$4,'WL Non-Smoker Mortality Exp'!$A$25:$U$25,0))</f>
        <v>104</v>
      </c>
      <c r="AU14" s="127">
        <f t="shared" si="10"/>
        <v>-246916.86976015376</v>
      </c>
      <c r="AV14" s="32"/>
      <c r="AW14" s="32"/>
      <c r="AX14" s="23"/>
    </row>
    <row r="15" spans="1:51" x14ac:dyDescent="0.15">
      <c r="A15" s="19"/>
      <c r="B15" s="20" t="s">
        <v>50</v>
      </c>
      <c r="C15" s="20" t="s">
        <v>51</v>
      </c>
      <c r="D15" s="2"/>
      <c r="E15" s="2"/>
      <c r="F15" s="2"/>
      <c r="G15" s="2"/>
      <c r="H15" s="2"/>
      <c r="I15" s="14">
        <f t="shared" si="11"/>
        <v>56</v>
      </c>
      <c r="J15" s="3">
        <f t="shared" si="12"/>
        <v>11</v>
      </c>
      <c r="K15" s="13"/>
      <c r="L15" s="13"/>
      <c r="M15" s="26">
        <v>50</v>
      </c>
      <c r="N15" s="13">
        <f t="shared" si="13"/>
        <v>100000</v>
      </c>
      <c r="O15" s="30">
        <v>0.1</v>
      </c>
      <c r="P15" s="39">
        <f t="shared" si="0"/>
        <v>10</v>
      </c>
      <c r="Q15" s="39">
        <f t="shared" si="1"/>
        <v>1</v>
      </c>
      <c r="R15" s="35"/>
      <c r="S15" s="43">
        <f>IFERROR(VLOOKUP(I15,'Mortality Table Latest'!$A$3:$E$123,4,FALSE)*1000,1)</f>
        <v>2.4620000000000002</v>
      </c>
      <c r="T15" s="33"/>
      <c r="U15" s="37">
        <f t="shared" si="14"/>
        <v>0.9762579932922929</v>
      </c>
      <c r="V15" s="37">
        <f t="shared" si="15"/>
        <v>2.4035471794856249E-3</v>
      </c>
      <c r="W15" s="37"/>
      <c r="X15" s="36">
        <f t="shared" si="19"/>
        <v>0.97385444611280725</v>
      </c>
      <c r="Y15" s="35"/>
      <c r="Z15" s="6">
        <f t="shared" si="16"/>
        <v>9.7625799329229288</v>
      </c>
      <c r="AA15" s="6">
        <f t="shared" si="16"/>
        <v>0.9762579932922929</v>
      </c>
      <c r="AB15" s="6">
        <f t="shared" si="2"/>
        <v>9.7385444611280718</v>
      </c>
      <c r="AC15" s="6">
        <f t="shared" si="3"/>
        <v>0.97385444611280725</v>
      </c>
      <c r="AD15" s="35"/>
      <c r="AE15" s="6">
        <f t="shared" si="4"/>
        <v>0</v>
      </c>
      <c r="AF15" s="6">
        <f t="shared" si="5"/>
        <v>0</v>
      </c>
      <c r="AG15" s="6">
        <f t="shared" si="6"/>
        <v>-48.692722305640359</v>
      </c>
      <c r="AH15" s="6">
        <f t="shared" si="20"/>
        <v>-240.3547179485625</v>
      </c>
      <c r="AI15" s="6">
        <f t="shared" ref="AI15:AI64" si="23">SUM(AE15:AH15)</f>
        <v>-289.04744025420285</v>
      </c>
      <c r="AJ15" s="6">
        <f t="shared" si="21"/>
        <v>2.7519970829448237E-2</v>
      </c>
      <c r="AK15" s="6">
        <f t="shared" si="18"/>
        <v>0.3189434864085921</v>
      </c>
      <c r="AL15" s="6">
        <f t="shared" ref="AL15:AL24" si="24">SUM(AI15:AK15)</f>
        <v>-288.70097679696477</v>
      </c>
      <c r="AM15" s="6">
        <f t="shared" si="8"/>
        <v>2.4035471794856544E-3</v>
      </c>
      <c r="AN15" s="6">
        <f t="shared" si="9"/>
        <v>-288.69857324978528</v>
      </c>
      <c r="AR15" s="126">
        <f t="shared" si="22"/>
        <v>2013</v>
      </c>
      <c r="AS15" s="23">
        <f>SUM($AH$5:AH15)</f>
        <v>-2614.5553887192718</v>
      </c>
      <c r="AT15" s="32">
        <f>INDEX('WL Non-Smoker Mortality Exp'!$A$25:$U$45,MATCH('Whole Life Non Smoker'!AR15,'WL Non-Smoker Mortality Exp'!$A$25:$A$45,0),MATCH('Whole Life Non Smoker'!$E$4,'WL Non-Smoker Mortality Exp'!$A$25:$U$25,0))</f>
        <v>111</v>
      </c>
      <c r="AU15" s="127">
        <f t="shared" si="10"/>
        <v>-290215.64814783918</v>
      </c>
      <c r="AV15" s="32"/>
      <c r="AW15" s="32"/>
      <c r="AX15" s="23"/>
    </row>
    <row r="16" spans="1:51" x14ac:dyDescent="0.15">
      <c r="A16" s="19"/>
      <c r="B16" s="20">
        <v>1</v>
      </c>
      <c r="C16" s="85">
        <v>0.1</v>
      </c>
      <c r="D16" s="76" t="s">
        <v>106</v>
      </c>
      <c r="E16" s="2"/>
      <c r="F16" s="2"/>
      <c r="G16" s="5"/>
      <c r="H16" s="2"/>
      <c r="I16" s="14">
        <f t="shared" si="11"/>
        <v>57</v>
      </c>
      <c r="J16" s="3">
        <f t="shared" si="12"/>
        <v>12</v>
      </c>
      <c r="K16" s="13"/>
      <c r="L16" s="13"/>
      <c r="M16" s="26">
        <v>50</v>
      </c>
      <c r="N16" s="13">
        <f t="shared" si="13"/>
        <v>100000</v>
      </c>
      <c r="O16" s="30">
        <v>0.1</v>
      </c>
      <c r="P16" s="39">
        <f t="shared" si="0"/>
        <v>10</v>
      </c>
      <c r="Q16" s="39">
        <f t="shared" si="1"/>
        <v>1</v>
      </c>
      <c r="R16" s="35"/>
      <c r="S16" s="43">
        <f>IFERROR(VLOOKUP(I16,'Mortality Table Latest'!$A$3:$E$123,4,FALSE)*1000,1)</f>
        <v>2.7030000000000003</v>
      </c>
      <c r="T16" s="33"/>
      <c r="U16" s="37">
        <f t="shared" si="14"/>
        <v>0.97385444611280725</v>
      </c>
      <c r="V16" s="37">
        <f t="shared" si="15"/>
        <v>2.6323285678429183E-3</v>
      </c>
      <c r="W16" s="37"/>
      <c r="X16" s="36">
        <f t="shared" si="19"/>
        <v>0.97122211754496435</v>
      </c>
      <c r="Y16" s="35"/>
      <c r="Z16" s="6">
        <f>AB15</f>
        <v>9.7385444611280718</v>
      </c>
      <c r="AA16" s="6">
        <f t="shared" si="16"/>
        <v>0.97385444611280725</v>
      </c>
      <c r="AB16" s="6">
        <f t="shared" si="2"/>
        <v>9.7122211754496437</v>
      </c>
      <c r="AC16" s="6">
        <f t="shared" si="3"/>
        <v>0.97122211754496435</v>
      </c>
      <c r="AD16" s="24"/>
      <c r="AE16" s="6">
        <f t="shared" si="4"/>
        <v>0</v>
      </c>
      <c r="AF16" s="6">
        <f t="shared" si="5"/>
        <v>0</v>
      </c>
      <c r="AG16" s="6">
        <f t="shared" si="6"/>
        <v>-48.561105877248217</v>
      </c>
      <c r="AH16" s="6">
        <f t="shared" si="20"/>
        <v>-263.23285678429181</v>
      </c>
      <c r="AI16" s="6">
        <f t="shared" si="23"/>
        <v>-311.79396266154004</v>
      </c>
      <c r="AJ16" s="6">
        <f t="shared" si="21"/>
        <v>2.4035471794855989E-2</v>
      </c>
      <c r="AK16" s="6">
        <f t="shared" si="18"/>
        <v>0.31815824754505412</v>
      </c>
      <c r="AL16" s="6">
        <f t="shared" si="24"/>
        <v>-311.45176894220015</v>
      </c>
      <c r="AM16" s="6">
        <f t="shared" si="8"/>
        <v>2.6323285678429009E-3</v>
      </c>
      <c r="AN16" s="6">
        <f t="shared" si="9"/>
        <v>-311.44913661363228</v>
      </c>
      <c r="AR16" s="126">
        <f t="shared" si="22"/>
        <v>2012</v>
      </c>
      <c r="AS16" s="23">
        <f>SUM($AH$5:AH16)</f>
        <v>-2877.7882455035638</v>
      </c>
      <c r="AT16" s="32">
        <f>INDEX('WL Non-Smoker Mortality Exp'!$A$25:$U$45,MATCH('Whole Life Non Smoker'!AR16,'WL Non-Smoker Mortality Exp'!$A$25:$A$45,0),MATCH('Whole Life Non Smoker'!$E$4,'WL Non-Smoker Mortality Exp'!$A$25:$U$25,0))</f>
        <v>97</v>
      </c>
      <c r="AU16" s="127">
        <f t="shared" si="10"/>
        <v>-279145.45981384569</v>
      </c>
      <c r="AV16" s="32"/>
      <c r="AW16" s="32"/>
      <c r="AX16" s="23"/>
    </row>
    <row r="17" spans="1:50" x14ac:dyDescent="0.15">
      <c r="A17" s="19"/>
      <c r="B17" s="21" t="s">
        <v>59</v>
      </c>
      <c r="C17" s="85">
        <v>0</v>
      </c>
      <c r="D17" s="2"/>
      <c r="E17" s="2"/>
      <c r="F17" s="2"/>
      <c r="G17" s="5"/>
      <c r="H17" s="2"/>
      <c r="I17" s="14">
        <f t="shared" si="11"/>
        <v>58</v>
      </c>
      <c r="J17" s="3">
        <f t="shared" si="12"/>
        <v>13</v>
      </c>
      <c r="K17" s="13"/>
      <c r="L17" s="13"/>
      <c r="M17" s="26">
        <v>50</v>
      </c>
      <c r="N17" s="13">
        <f t="shared" si="13"/>
        <v>100000</v>
      </c>
      <c r="O17" s="30">
        <v>0.1</v>
      </c>
      <c r="P17" s="39">
        <f t="shared" si="0"/>
        <v>10</v>
      </c>
      <c r="Q17" s="39">
        <f t="shared" si="1"/>
        <v>1</v>
      </c>
      <c r="R17" s="35"/>
      <c r="S17" s="43">
        <f>IFERROR(VLOOKUP(I17,'Mortality Table Latest'!$A$3:$E$123,4,FALSE)*1000,1)</f>
        <v>2.968</v>
      </c>
      <c r="T17" s="33"/>
      <c r="U17" s="37">
        <f t="shared" si="14"/>
        <v>0.97122211754496435</v>
      </c>
      <c r="V17" s="37">
        <f t="shared" si="15"/>
        <v>2.8825872448734538E-3</v>
      </c>
      <c r="W17" s="37"/>
      <c r="X17" s="36">
        <f t="shared" si="19"/>
        <v>0.9683395303000909</v>
      </c>
      <c r="Y17" s="35"/>
      <c r="Z17" s="6">
        <f t="shared" si="16"/>
        <v>9.7122211754496437</v>
      </c>
      <c r="AA17" s="6">
        <f t="shared" si="16"/>
        <v>0.97122211754496435</v>
      </c>
      <c r="AB17" s="6">
        <f t="shared" si="2"/>
        <v>9.6833953030009088</v>
      </c>
      <c r="AC17" s="6">
        <f t="shared" si="3"/>
        <v>0.9683395303000909</v>
      </c>
      <c r="AD17" s="25"/>
      <c r="AE17" s="6">
        <f t="shared" si="4"/>
        <v>0</v>
      </c>
      <c r="AF17" s="6">
        <f t="shared" si="5"/>
        <v>0</v>
      </c>
      <c r="AG17" s="6">
        <f t="shared" si="6"/>
        <v>-48.416976515004542</v>
      </c>
      <c r="AH17" s="6">
        <f t="shared" si="20"/>
        <v>-288.25872448734538</v>
      </c>
      <c r="AI17" s="6">
        <f t="shared" si="23"/>
        <v>-336.67570100234991</v>
      </c>
      <c r="AJ17" s="6">
        <f t="shared" si="21"/>
        <v>2.6323285678429842E-2</v>
      </c>
      <c r="AK17" s="6">
        <f t="shared" si="18"/>
        <v>0.31729826580193987</v>
      </c>
      <c r="AL17" s="6">
        <f t="shared" si="24"/>
        <v>-336.33207945086957</v>
      </c>
      <c r="AM17" s="6">
        <f t="shared" si="8"/>
        <v>2.8825872448734469E-3</v>
      </c>
      <c r="AN17" s="6">
        <f t="shared" si="9"/>
        <v>-336.3291968636247</v>
      </c>
      <c r="AR17" s="126">
        <f t="shared" si="22"/>
        <v>2011</v>
      </c>
      <c r="AS17" s="23">
        <f>SUM($AH$5:AH17)</f>
        <v>-3166.046969990909</v>
      </c>
      <c r="AT17" s="32">
        <f>INDEX('WL Non-Smoker Mortality Exp'!$A$25:$U$45,MATCH('Whole Life Non Smoker'!AR17,'WL Non-Smoker Mortality Exp'!$A$25:$A$45,0),MATCH('Whole Life Non Smoker'!$E$4,'WL Non-Smoker Mortality Exp'!$A$25:$U$25,0))</f>
        <v>86</v>
      </c>
      <c r="AU17" s="127">
        <f t="shared" si="10"/>
        <v>-272280.0394192182</v>
      </c>
      <c r="AV17" s="32"/>
      <c r="AW17" s="32"/>
      <c r="AX17" s="23"/>
    </row>
    <row r="18" spans="1:50" x14ac:dyDescent="0.15">
      <c r="A18" s="15" t="s">
        <v>61</v>
      </c>
      <c r="B18" s="17"/>
      <c r="C18" s="4"/>
      <c r="D18" s="2"/>
      <c r="E18" s="2"/>
      <c r="F18" s="2"/>
      <c r="G18" s="2"/>
      <c r="H18" s="2"/>
      <c r="I18" s="14">
        <f t="shared" si="11"/>
        <v>59</v>
      </c>
      <c r="J18" s="3">
        <f t="shared" si="12"/>
        <v>14</v>
      </c>
      <c r="K18" s="13"/>
      <c r="L18" s="13"/>
      <c r="M18" s="26">
        <v>50</v>
      </c>
      <c r="N18" s="13">
        <f t="shared" si="13"/>
        <v>100000</v>
      </c>
      <c r="O18" s="30">
        <v>0.1</v>
      </c>
      <c r="P18" s="39">
        <f t="shared" si="0"/>
        <v>10</v>
      </c>
      <c r="Q18" s="39">
        <f t="shared" si="1"/>
        <v>1</v>
      </c>
      <c r="R18" s="35"/>
      <c r="S18" s="43">
        <f>IFERROR(VLOOKUP(I18,'Mortality Table Latest'!$A$3:$E$123,4,FALSE)*1000,1)</f>
        <v>3.286</v>
      </c>
      <c r="T18" s="33"/>
      <c r="U18" s="37">
        <f t="shared" si="14"/>
        <v>0.9683395303000909</v>
      </c>
      <c r="V18" s="37">
        <f t="shared" si="15"/>
        <v>3.1819636965660985E-3</v>
      </c>
      <c r="W18" s="37"/>
      <c r="X18" s="36">
        <f t="shared" si="19"/>
        <v>0.96515756660352481</v>
      </c>
      <c r="Y18" s="35"/>
      <c r="Z18" s="6">
        <f t="shared" si="16"/>
        <v>9.6833953030009088</v>
      </c>
      <c r="AA18" s="6">
        <f t="shared" si="16"/>
        <v>0.9683395303000909</v>
      </c>
      <c r="AB18" s="6">
        <f t="shared" si="2"/>
        <v>9.6515756660352476</v>
      </c>
      <c r="AC18" s="6">
        <f t="shared" si="3"/>
        <v>0.96515756660352481</v>
      </c>
      <c r="AD18" s="24"/>
      <c r="AE18" s="6">
        <f t="shared" si="4"/>
        <v>0</v>
      </c>
      <c r="AF18" s="6">
        <f t="shared" si="5"/>
        <v>0</v>
      </c>
      <c r="AG18" s="6">
        <f t="shared" si="6"/>
        <v>-48.25787833017624</v>
      </c>
      <c r="AH18" s="6">
        <f t="shared" si="20"/>
        <v>-318.19636965660987</v>
      </c>
      <c r="AI18" s="6">
        <f t="shared" si="23"/>
        <v>-366.45424798678613</v>
      </c>
      <c r="AJ18" s="6">
        <f t="shared" si="21"/>
        <v>2.8825872448734469E-2</v>
      </c>
      <c r="AK18" s="6">
        <f t="shared" si="18"/>
        <v>0.31635652454903967</v>
      </c>
      <c r="AL18" s="6">
        <f t="shared" si="24"/>
        <v>-366.10906558978832</v>
      </c>
      <c r="AM18" s="6">
        <f t="shared" si="8"/>
        <v>3.1819636965660925E-3</v>
      </c>
      <c r="AN18" s="6">
        <f t="shared" si="9"/>
        <v>-366.10588362609172</v>
      </c>
      <c r="AR18" s="126">
        <f t="shared" si="22"/>
        <v>2010</v>
      </c>
      <c r="AS18" s="23">
        <f>SUM($AH$5:AH18)</f>
        <v>-3484.243339647519</v>
      </c>
      <c r="AT18" s="32">
        <f>INDEX('WL Non-Smoker Mortality Exp'!$A$25:$U$45,MATCH('Whole Life Non Smoker'!AR18,'WL Non-Smoker Mortality Exp'!$A$25:$A$45,0),MATCH('Whole Life Non Smoker'!$E$4,'WL Non-Smoker Mortality Exp'!$A$25:$U$25,0))</f>
        <v>64</v>
      </c>
      <c r="AU18" s="127">
        <f t="shared" si="10"/>
        <v>-222991.57373744121</v>
      </c>
      <c r="AV18" s="32"/>
      <c r="AW18" s="32"/>
      <c r="AX18" s="23"/>
    </row>
    <row r="19" spans="1:50" x14ac:dyDescent="0.15">
      <c r="A19" s="15"/>
      <c r="B19" s="16" t="s">
        <v>50</v>
      </c>
      <c r="C19" s="16" t="s">
        <v>51</v>
      </c>
      <c r="D19" s="2"/>
      <c r="E19" s="2"/>
      <c r="F19" s="2"/>
      <c r="G19" s="5"/>
      <c r="H19" s="5"/>
      <c r="I19" s="14">
        <f t="shared" si="11"/>
        <v>60</v>
      </c>
      <c r="J19" s="3">
        <f t="shared" si="12"/>
        <v>15</v>
      </c>
      <c r="K19" s="13"/>
      <c r="L19" s="13"/>
      <c r="M19" s="26">
        <v>50</v>
      </c>
      <c r="N19" s="13">
        <f t="shared" si="13"/>
        <v>100000</v>
      </c>
      <c r="O19" s="30">
        <v>0.1</v>
      </c>
      <c r="P19" s="39">
        <f t="shared" si="0"/>
        <v>10</v>
      </c>
      <c r="Q19" s="39">
        <f t="shared" si="1"/>
        <v>1</v>
      </c>
      <c r="R19" s="35"/>
      <c r="S19" s="43">
        <f>IFERROR(VLOOKUP(I19,'Mortality Table Latest'!$A$3:$E$123,4,FALSE)*1000,1)</f>
        <v>3.625</v>
      </c>
      <c r="T19" s="33"/>
      <c r="U19" s="37">
        <f t="shared" si="14"/>
        <v>0.96515756660352481</v>
      </c>
      <c r="V19" s="37">
        <f t="shared" si="15"/>
        <v>3.4986961789377773E-3</v>
      </c>
      <c r="W19" s="37"/>
      <c r="X19" s="36">
        <f t="shared" si="19"/>
        <v>0.96165887042458698</v>
      </c>
      <c r="Y19" s="35"/>
      <c r="Z19" s="6">
        <f t="shared" si="16"/>
        <v>9.6515756660352476</v>
      </c>
      <c r="AA19" s="6">
        <f t="shared" si="16"/>
        <v>0.96515756660352481</v>
      </c>
      <c r="AB19" s="6">
        <f t="shared" si="2"/>
        <v>9.6165887042458706</v>
      </c>
      <c r="AC19" s="6">
        <f t="shared" si="3"/>
        <v>0.96165887042458698</v>
      </c>
      <c r="AE19" s="6">
        <f t="shared" si="4"/>
        <v>0</v>
      </c>
      <c r="AF19" s="6">
        <f t="shared" si="5"/>
        <v>0</v>
      </c>
      <c r="AG19" s="6">
        <f t="shared" si="6"/>
        <v>-48.082943521229346</v>
      </c>
      <c r="AH19" s="6">
        <f t="shared" si="20"/>
        <v>-349.86961789377773</v>
      </c>
      <c r="AI19" s="6">
        <f t="shared" si="23"/>
        <v>-397.9525614150071</v>
      </c>
      <c r="AJ19" s="6">
        <f t="shared" si="21"/>
        <v>3.1819636965660369E-2</v>
      </c>
      <c r="AK19" s="6">
        <f t="shared" si="18"/>
        <v>0.31531697700937156</v>
      </c>
      <c r="AL19" s="6">
        <f t="shared" si="24"/>
        <v>-397.60542480103203</v>
      </c>
      <c r="AM19" s="6">
        <f t="shared" si="8"/>
        <v>3.4986961789378324E-3</v>
      </c>
      <c r="AN19" s="6">
        <f t="shared" si="9"/>
        <v>-397.60192610485308</v>
      </c>
      <c r="AR19" s="126">
        <f t="shared" si="22"/>
        <v>2009</v>
      </c>
      <c r="AS19" s="23">
        <f>SUM($AH$5:AH19)</f>
        <v>-3834.1129575412965</v>
      </c>
      <c r="AT19" s="32">
        <f>INDEX('WL Non-Smoker Mortality Exp'!$A$25:$U$45,MATCH('Whole Life Non Smoker'!AR19,'WL Non-Smoker Mortality Exp'!$A$25:$A$45,0),MATCH('Whole Life Non Smoker'!$E$4,'WL Non-Smoker Mortality Exp'!$A$25:$U$25,0))</f>
        <v>71</v>
      </c>
      <c r="AU19" s="127">
        <f t="shared" si="10"/>
        <v>-272222.01998543204</v>
      </c>
      <c r="AV19" s="32"/>
      <c r="AW19" s="32"/>
      <c r="AX19" s="23"/>
    </row>
    <row r="20" spans="1:50" x14ac:dyDescent="0.15">
      <c r="A20" s="15"/>
      <c r="B20" s="16">
        <v>1</v>
      </c>
      <c r="C20" s="12">
        <v>100</v>
      </c>
      <c r="D20" s="2"/>
      <c r="E20" s="2"/>
      <c r="F20" s="2"/>
      <c r="G20" s="2"/>
      <c r="H20" s="2"/>
      <c r="I20" s="14">
        <f t="shared" si="11"/>
        <v>61</v>
      </c>
      <c r="J20" s="3">
        <f t="shared" si="12"/>
        <v>16</v>
      </c>
      <c r="K20" s="13"/>
      <c r="L20" s="13"/>
      <c r="M20" s="26">
        <v>50</v>
      </c>
      <c r="N20" s="13">
        <f t="shared" si="13"/>
        <v>100000</v>
      </c>
      <c r="O20" s="30">
        <v>0.1</v>
      </c>
      <c r="P20" s="39">
        <f t="shared" si="0"/>
        <v>10</v>
      </c>
      <c r="Q20" s="39">
        <f t="shared" si="1"/>
        <v>1</v>
      </c>
      <c r="R20" s="35"/>
      <c r="S20" s="43">
        <f>IFERROR(VLOOKUP(I20,'Mortality Table Latest'!$A$3:$E$123,4,FALSE)*1000,1)</f>
        <v>3.9620000000000002</v>
      </c>
      <c r="T20" s="33"/>
      <c r="U20" s="37">
        <f t="shared" si="14"/>
        <v>0.96165887042458698</v>
      </c>
      <c r="V20" s="37">
        <f t="shared" si="15"/>
        <v>3.8100924446222138E-3</v>
      </c>
      <c r="W20" s="37"/>
      <c r="X20" s="36">
        <f t="shared" si="19"/>
        <v>0.95784877797996482</v>
      </c>
      <c r="Y20" s="35"/>
      <c r="Z20" s="6">
        <f t="shared" si="16"/>
        <v>9.6165887042458706</v>
      </c>
      <c r="AA20" s="6">
        <f t="shared" si="16"/>
        <v>0.96165887042458698</v>
      </c>
      <c r="AB20" s="6">
        <f t="shared" si="2"/>
        <v>9.5784877797996479</v>
      </c>
      <c r="AC20" s="6">
        <f t="shared" si="3"/>
        <v>0.95784877797996482</v>
      </c>
      <c r="AD20" s="24"/>
      <c r="AE20" s="6">
        <f t="shared" si="4"/>
        <v>0</v>
      </c>
      <c r="AF20" s="6">
        <f t="shared" si="5"/>
        <v>0</v>
      </c>
      <c r="AG20" s="6">
        <f t="shared" si="6"/>
        <v>-47.892438898998243</v>
      </c>
      <c r="AH20" s="6">
        <f t="shared" si="20"/>
        <v>-381.00924446222137</v>
      </c>
      <c r="AI20" s="6">
        <f t="shared" si="23"/>
        <v>-428.90168336121963</v>
      </c>
      <c r="AJ20" s="6">
        <f t="shared" si="21"/>
        <v>3.4986961789378046E-2</v>
      </c>
      <c r="AK20" s="6">
        <f t="shared" si="18"/>
        <v>0.31417395296771261</v>
      </c>
      <c r="AL20" s="6">
        <f t="shared" si="24"/>
        <v>-428.55252244646249</v>
      </c>
      <c r="AM20" s="6">
        <f t="shared" si="8"/>
        <v>3.8100924446221596E-3</v>
      </c>
      <c r="AN20" s="6">
        <f t="shared" si="9"/>
        <v>-428.54871235401788</v>
      </c>
      <c r="AR20" s="126">
        <f t="shared" si="22"/>
        <v>2008</v>
      </c>
      <c r="AS20" s="23">
        <f>SUM($AH$5:AH20)</f>
        <v>-4215.1222020035175</v>
      </c>
      <c r="AT20" s="32">
        <f>INDEX('WL Non-Smoker Mortality Exp'!$A$25:$U$45,MATCH('Whole Life Non Smoker'!AR20,'WL Non-Smoker Mortality Exp'!$A$25:$A$45,0),MATCH('Whole Life Non Smoker'!$E$4,'WL Non-Smoker Mortality Exp'!$A$25:$U$25,0))</f>
        <v>56</v>
      </c>
      <c r="AU20" s="127">
        <f t="shared" si="10"/>
        <v>-236046.84331219699</v>
      </c>
      <c r="AV20" s="32"/>
      <c r="AW20" s="32"/>
      <c r="AX20" s="23"/>
    </row>
    <row r="21" spans="1:50" x14ac:dyDescent="0.15">
      <c r="A21" s="15"/>
      <c r="B21" s="17" t="s">
        <v>59</v>
      </c>
      <c r="C21" s="12">
        <v>50</v>
      </c>
      <c r="D21" s="2"/>
      <c r="E21" s="9"/>
      <c r="F21" s="18"/>
      <c r="G21" s="5"/>
      <c r="H21" s="5"/>
      <c r="I21" s="14">
        <f t="shared" si="11"/>
        <v>62</v>
      </c>
      <c r="J21" s="3">
        <f t="shared" si="12"/>
        <v>17</v>
      </c>
      <c r="K21" s="13"/>
      <c r="L21" s="13"/>
      <c r="M21" s="26">
        <v>50</v>
      </c>
      <c r="N21" s="13">
        <f t="shared" si="13"/>
        <v>100000</v>
      </c>
      <c r="O21" s="30">
        <v>0.1</v>
      </c>
      <c r="P21" s="39">
        <f t="shared" si="0"/>
        <v>10</v>
      </c>
      <c r="Q21" s="39">
        <f t="shared" si="1"/>
        <v>1</v>
      </c>
      <c r="R21" s="35"/>
      <c r="S21" s="43">
        <f>IFERROR(VLOOKUP(I21,'Mortality Table Latest'!$A$3:$E$123,4,FALSE)*1000,1)</f>
        <v>4.3330000000000002</v>
      </c>
      <c r="T21" s="33"/>
      <c r="U21" s="37">
        <f t="shared" si="14"/>
        <v>0.95784877797996482</v>
      </c>
      <c r="V21" s="37">
        <f t="shared" si="15"/>
        <v>4.150358754987188E-3</v>
      </c>
      <c r="W21" s="37"/>
      <c r="X21" s="36">
        <f t="shared" si="19"/>
        <v>0.95369841922497767</v>
      </c>
      <c r="Y21" s="35"/>
      <c r="Z21" s="6">
        <f t="shared" si="16"/>
        <v>9.5784877797996479</v>
      </c>
      <c r="AA21" s="6">
        <f t="shared" si="16"/>
        <v>0.95784877797996482</v>
      </c>
      <c r="AB21" s="6">
        <f t="shared" si="2"/>
        <v>9.5369841922497773</v>
      </c>
      <c r="AC21" s="6">
        <f t="shared" si="3"/>
        <v>0.95369841922497767</v>
      </c>
      <c r="AD21" s="35"/>
      <c r="AE21" s="6">
        <f t="shared" si="4"/>
        <v>0</v>
      </c>
      <c r="AF21" s="6">
        <f t="shared" ref="AF21:AG24" si="25">-$X21*L21</f>
        <v>0</v>
      </c>
      <c r="AG21" s="6">
        <f t="shared" si="25"/>
        <v>-47.684920961248885</v>
      </c>
      <c r="AH21" s="6">
        <f t="shared" si="20"/>
        <v>-415.03587549871878</v>
      </c>
      <c r="AI21" s="6">
        <f t="shared" si="23"/>
        <v>-462.72079645996769</v>
      </c>
      <c r="AJ21" s="6">
        <f t="shared" si="21"/>
        <v>3.8100924446221596E-2</v>
      </c>
      <c r="AK21" s="6">
        <f t="shared" si="18"/>
        <v>0.31292919576605449</v>
      </c>
      <c r="AL21" s="6">
        <f t="shared" si="24"/>
        <v>-462.36976633975542</v>
      </c>
      <c r="AM21" s="6">
        <f t="shared" si="8"/>
        <v>4.150358754987149E-3</v>
      </c>
      <c r="AN21" s="6">
        <f t="shared" si="9"/>
        <v>-462.36561598100042</v>
      </c>
      <c r="AR21" s="126">
        <f t="shared" si="22"/>
        <v>2007</v>
      </c>
      <c r="AS21" s="23">
        <f>SUM($AH$5:AH21)</f>
        <v>-4630.1580775022367</v>
      </c>
      <c r="AT21" s="32">
        <f>INDEX('WL Non-Smoker Mortality Exp'!$A$25:$U$45,MATCH('Whole Life Non Smoker'!AR21,'WL Non-Smoker Mortality Exp'!$A$25:$A$45,0),MATCH('Whole Life Non Smoker'!$E$4,'WL Non-Smoker Mortality Exp'!$A$25:$U$25,0))</f>
        <v>62</v>
      </c>
      <c r="AU21" s="127">
        <f t="shared" si="10"/>
        <v>-287069.80080513866</v>
      </c>
      <c r="AV21" s="32"/>
      <c r="AW21" s="32"/>
      <c r="AX21" s="23"/>
    </row>
    <row r="22" spans="1:50" x14ac:dyDescent="0.15">
      <c r="A22" t="s">
        <v>63</v>
      </c>
      <c r="B22" s="48">
        <v>2.52E-2</v>
      </c>
      <c r="C22" s="10"/>
      <c r="F22" s="3"/>
      <c r="G22" s="10"/>
      <c r="I22" s="14">
        <f t="shared" si="11"/>
        <v>63</v>
      </c>
      <c r="J22" s="3">
        <f t="shared" si="12"/>
        <v>18</v>
      </c>
      <c r="K22" s="13"/>
      <c r="L22" s="13"/>
      <c r="M22" s="26">
        <v>50</v>
      </c>
      <c r="N22" s="13">
        <f t="shared" si="13"/>
        <v>100000</v>
      </c>
      <c r="O22" s="30">
        <v>0.1</v>
      </c>
      <c r="P22" s="39">
        <f t="shared" si="0"/>
        <v>10</v>
      </c>
      <c r="Q22" s="39">
        <f t="shared" si="1"/>
        <v>1</v>
      </c>
      <c r="R22" s="35"/>
      <c r="S22" s="43">
        <f>IFERROR(VLOOKUP(I22,'Mortality Table Latest'!$A$3:$E$123,4,FALSE)*1000,1)</f>
        <v>4.7280000000000006</v>
      </c>
      <c r="T22" s="33"/>
      <c r="U22" s="37">
        <f t="shared" si="14"/>
        <v>0.95369841922497767</v>
      </c>
      <c r="V22" s="37">
        <f t="shared" si="15"/>
        <v>4.5090861260956945E-3</v>
      </c>
      <c r="W22" s="37"/>
      <c r="X22" s="36">
        <f t="shared" si="19"/>
        <v>0.94918933309888198</v>
      </c>
      <c r="Y22" s="35"/>
      <c r="Z22" s="6">
        <f t="shared" ref="Z22:AA37" si="26">AB21</f>
        <v>9.5369841922497773</v>
      </c>
      <c r="AA22" s="6">
        <f t="shared" si="26"/>
        <v>0.95369841922497767</v>
      </c>
      <c r="AB22" s="6">
        <f t="shared" si="2"/>
        <v>9.4918933309888196</v>
      </c>
      <c r="AC22" s="6">
        <f t="shared" si="3"/>
        <v>0.94918933309888198</v>
      </c>
      <c r="AE22" s="6">
        <f t="shared" si="4"/>
        <v>0</v>
      </c>
      <c r="AF22" s="6">
        <f t="shared" si="25"/>
        <v>0</v>
      </c>
      <c r="AG22" s="6">
        <f t="shared" si="25"/>
        <v>-47.459466654944102</v>
      </c>
      <c r="AH22" s="6">
        <f t="shared" si="20"/>
        <v>-450.90861260956945</v>
      </c>
      <c r="AI22" s="6">
        <f t="shared" si="23"/>
        <v>-498.36807926451354</v>
      </c>
      <c r="AJ22" s="6">
        <f t="shared" si="21"/>
        <v>4.1503587549872323E-2</v>
      </c>
      <c r="AK22" s="6">
        <f t="shared" si="18"/>
        <v>0.31157327356080022</v>
      </c>
      <c r="AL22" s="6">
        <f t="shared" si="24"/>
        <v>-498.01500240340289</v>
      </c>
      <c r="AM22" s="6">
        <f t="shared" si="8"/>
        <v>4.5090861260956849E-3</v>
      </c>
      <c r="AN22" s="6">
        <f t="shared" si="9"/>
        <v>-498.01049331727677</v>
      </c>
      <c r="AR22" s="126">
        <f t="shared" si="22"/>
        <v>2006</v>
      </c>
      <c r="AS22" s="23">
        <f>SUM($AH$5:AH22)</f>
        <v>-5081.0666901118057</v>
      </c>
      <c r="AT22" s="32">
        <f>INDEX('WL Non-Smoker Mortality Exp'!$A$25:$U$45,MATCH('Whole Life Non Smoker'!AR22,'WL Non-Smoker Mortality Exp'!$A$25:$A$45,0),MATCH('Whole Life Non Smoker'!$E$4,'WL Non-Smoker Mortality Exp'!$A$25:$U$25,0))</f>
        <v>65</v>
      </c>
      <c r="AU22" s="127">
        <f t="shared" si="10"/>
        <v>-330269.33485726739</v>
      </c>
      <c r="AV22" s="32">
        <f>AT24/E11</f>
        <v>3.2000000000000003E-4</v>
      </c>
      <c r="AW22" s="32"/>
      <c r="AX22" s="23"/>
    </row>
    <row r="23" spans="1:50" x14ac:dyDescent="0.15">
      <c r="B23" s="3"/>
      <c r="C23" s="10"/>
      <c r="F23" s="3"/>
      <c r="G23" s="10"/>
      <c r="I23" s="14">
        <f t="shared" si="11"/>
        <v>64</v>
      </c>
      <c r="J23" s="3">
        <f t="shared" si="12"/>
        <v>19</v>
      </c>
      <c r="K23" s="13"/>
      <c r="L23" s="13"/>
      <c r="M23" s="26">
        <v>50</v>
      </c>
      <c r="N23" s="13">
        <f t="shared" si="13"/>
        <v>100000</v>
      </c>
      <c r="O23" s="30">
        <v>0.1</v>
      </c>
      <c r="P23" s="39">
        <f t="shared" si="0"/>
        <v>10</v>
      </c>
      <c r="Q23" s="39">
        <f t="shared" si="1"/>
        <v>1</v>
      </c>
      <c r="R23" s="35"/>
      <c r="S23" s="43">
        <f>IFERROR(VLOOKUP(I23,'Mortality Table Latest'!$A$3:$E$123,4,FALSE)*1000,1)</f>
        <v>5.1669999999999998</v>
      </c>
      <c r="T23" s="33"/>
      <c r="U23" s="37">
        <f t="shared" si="14"/>
        <v>0.94918933309888198</v>
      </c>
      <c r="V23" s="37">
        <f t="shared" si="15"/>
        <v>4.9044612841219228E-3</v>
      </c>
      <c r="W23" s="37"/>
      <c r="X23" s="36">
        <f t="shared" si="19"/>
        <v>0.94428487181476006</v>
      </c>
      <c r="Y23" s="35"/>
      <c r="Z23" s="6">
        <f t="shared" si="26"/>
        <v>9.4918933309888196</v>
      </c>
      <c r="AA23" s="6">
        <f t="shared" si="26"/>
        <v>0.94918933309888198</v>
      </c>
      <c r="AB23" s="6">
        <f t="shared" si="2"/>
        <v>9.4428487181476015</v>
      </c>
      <c r="AC23" s="6">
        <f t="shared" si="3"/>
        <v>0.94428487181476006</v>
      </c>
      <c r="AE23" s="6">
        <f t="shared" si="4"/>
        <v>0</v>
      </c>
      <c r="AF23" s="6">
        <f t="shared" si="25"/>
        <v>0</v>
      </c>
      <c r="AG23" s="6">
        <f t="shared" si="25"/>
        <v>-47.214243590738</v>
      </c>
      <c r="AH23" s="6">
        <f t="shared" si="20"/>
        <v>-490.44612841219225</v>
      </c>
      <c r="AI23" s="6">
        <f t="shared" si="23"/>
        <v>-537.66037200293022</v>
      </c>
      <c r="AJ23" s="6">
        <f t="shared" si="21"/>
        <v>4.5090861260956017E-2</v>
      </c>
      <c r="AK23" s="6">
        <f t="shared" si="18"/>
        <v>0.31010015512340477</v>
      </c>
      <c r="AL23" s="6">
        <f t="shared" si="24"/>
        <v>-537.30518098654579</v>
      </c>
      <c r="AM23" s="6">
        <f t="shared" si="8"/>
        <v>4.9044612841219193E-3</v>
      </c>
      <c r="AN23" s="6">
        <f t="shared" si="9"/>
        <v>-537.30027652526167</v>
      </c>
      <c r="AR23" s="126">
        <f>AR22-1</f>
        <v>2005</v>
      </c>
      <c r="AS23" s="23">
        <f>SUM($AH$5:AH23)</f>
        <v>-5571.5128185239982</v>
      </c>
      <c r="AT23" s="32">
        <f>INDEX('WL Non-Smoker Mortality Exp'!$A$25:$U$45,MATCH('Whole Life Non Smoker'!AR23,'WL Non-Smoker Mortality Exp'!$A$25:$A$45,0),MATCH('Whole Life Non Smoker'!$E$4,'WL Non-Smoker Mortality Exp'!$A$25:$U$25,0))</f>
        <v>45</v>
      </c>
      <c r="AU23" s="127">
        <f t="shared" si="10"/>
        <v>-250718.07683357992</v>
      </c>
      <c r="AV23" s="32"/>
      <c r="AW23" s="32"/>
      <c r="AX23" s="23"/>
    </row>
    <row r="24" spans="1:50" x14ac:dyDescent="0.15">
      <c r="B24" s="3"/>
      <c r="C24" s="10"/>
      <c r="F24" s="3"/>
      <c r="G24" s="10"/>
      <c r="I24" s="14">
        <f t="shared" si="11"/>
        <v>65</v>
      </c>
      <c r="J24" s="3">
        <f t="shared" si="12"/>
        <v>20</v>
      </c>
      <c r="K24" s="13"/>
      <c r="L24" s="13"/>
      <c r="M24" s="26">
        <v>50</v>
      </c>
      <c r="N24" s="13">
        <f t="shared" si="13"/>
        <v>100000</v>
      </c>
      <c r="O24" s="30">
        <v>0.1</v>
      </c>
      <c r="P24" s="39">
        <f>N24*O24/1000</f>
        <v>10</v>
      </c>
      <c r="Q24" s="39">
        <f>$H$14*N24/1000</f>
        <v>1</v>
      </c>
      <c r="R24" s="35"/>
      <c r="S24" s="43">
        <f>IFERROR(VLOOKUP(I24,'Mortality Table Latest'!$A$3:$E$123,4,FALSE)*1000,1)</f>
        <v>7.5549999999999997</v>
      </c>
      <c r="T24" s="33"/>
      <c r="U24" s="37">
        <f t="shared" si="14"/>
        <v>0.94428487181476006</v>
      </c>
      <c r="V24" s="37">
        <f t="shared" si="15"/>
        <v>7.1340722065605126E-3</v>
      </c>
      <c r="W24" s="37"/>
      <c r="X24" s="36">
        <f t="shared" si="19"/>
        <v>0.93715079960819958</v>
      </c>
      <c r="Y24" s="35"/>
      <c r="Z24" s="6">
        <f t="shared" si="26"/>
        <v>9.4428487181476015</v>
      </c>
      <c r="AA24" s="6">
        <f t="shared" si="26"/>
        <v>0.94428487181476006</v>
      </c>
      <c r="AB24" s="6">
        <f t="shared" si="2"/>
        <v>9.3715079960819949</v>
      </c>
      <c r="AC24" s="6">
        <f t="shared" si="3"/>
        <v>0.93715079960819958</v>
      </c>
      <c r="AE24" s="6">
        <f t="shared" si="4"/>
        <v>0</v>
      </c>
      <c r="AF24" s="6">
        <f t="shared" si="25"/>
        <v>0</v>
      </c>
      <c r="AG24" s="6">
        <f>-$X24*M24</f>
        <v>-46.857539980409982</v>
      </c>
      <c r="AH24" s="6">
        <f t="shared" si="20"/>
        <v>-713.40722065605121</v>
      </c>
      <c r="AI24" s="6">
        <f t="shared" si="23"/>
        <v>-760.26476063646123</v>
      </c>
      <c r="AJ24" s="6">
        <f t="shared" si="21"/>
        <v>4.9044612841220296E-2</v>
      </c>
      <c r="AK24" s="6">
        <f t="shared" si="18"/>
        <v>0.30849786762188214</v>
      </c>
      <c r="AL24" s="6">
        <f t="shared" si="24"/>
        <v>-759.90721815599807</v>
      </c>
      <c r="AM24" s="6">
        <f t="shared" si="8"/>
        <v>7.1340722065604822E-3</v>
      </c>
      <c r="AN24" s="6">
        <f t="shared" si="9"/>
        <v>-759.90008408379151</v>
      </c>
      <c r="AR24" s="128">
        <v>2004</v>
      </c>
      <c r="AS24" s="23">
        <f>SUM($AH$5:AH24)</f>
        <v>-6284.9200391800496</v>
      </c>
      <c r="AT24" s="32">
        <f>INDEX('WL Non-Smoker Mortality Exp'!$A$25:$U$45,MATCH('Whole Life Non Smoker'!AR24,'WL Non-Smoker Mortality Exp'!$A$25:$A$45,0),MATCH('Whole Life Non Smoker'!$E$4,'WL Non-Smoker Mortality Exp'!$A$25:$U$25,0))</f>
        <v>32</v>
      </c>
      <c r="AU24" s="127">
        <f>AS24*AT24</f>
        <v>-201117.44125376159</v>
      </c>
      <c r="AV24" s="32"/>
      <c r="AW24" s="32"/>
      <c r="AX24" s="23"/>
    </row>
    <row r="25" spans="1:50" x14ac:dyDescent="0.15">
      <c r="B25" s="56" t="s">
        <v>65</v>
      </c>
      <c r="C25" s="46">
        <f>AP4</f>
        <v>24004.04011291331</v>
      </c>
      <c r="F25" s="3"/>
      <c r="G25" s="10"/>
      <c r="I25" s="14">
        <f>$E$4+J25-1</f>
        <v>66</v>
      </c>
      <c r="J25" s="3">
        <f t="shared" si="12"/>
        <v>21</v>
      </c>
      <c r="K25" s="35"/>
      <c r="L25" s="35"/>
      <c r="M25" s="26">
        <v>50</v>
      </c>
      <c r="N25" s="13">
        <f t="shared" si="13"/>
        <v>100000</v>
      </c>
      <c r="O25" s="30">
        <v>0.1</v>
      </c>
      <c r="P25" s="39">
        <f t="shared" ref="P25:P64" si="27">N25*O25/1000</f>
        <v>10</v>
      </c>
      <c r="Q25" s="39">
        <f t="shared" ref="Q25:Q64" si="28">$H$14*N25/1000</f>
        <v>1</v>
      </c>
      <c r="R25" s="35"/>
      <c r="S25" s="43">
        <f>IFERROR(VLOOKUP(I25,'Mortality Table Latest'!$A$3:$E$123,4,FALSE)*1000,1)</f>
        <v>8.2759999999999998</v>
      </c>
      <c r="T25" s="35"/>
      <c r="U25" s="37">
        <f t="shared" si="14"/>
        <v>0.93715079960819958</v>
      </c>
      <c r="V25" s="37">
        <f t="shared" si="15"/>
        <v>7.7558600175574597E-3</v>
      </c>
      <c r="W25" s="35"/>
      <c r="X25" s="36">
        <f t="shared" si="19"/>
        <v>0.92939493959064212</v>
      </c>
      <c r="Y25" s="35"/>
      <c r="Z25" s="6">
        <f t="shared" si="26"/>
        <v>9.3715079960819949</v>
      </c>
      <c r="AA25" s="6">
        <f t="shared" si="26"/>
        <v>0.93715079960819958</v>
      </c>
      <c r="AB25" s="6">
        <f t="shared" si="2"/>
        <v>9.2939493959064219</v>
      </c>
      <c r="AC25" s="6">
        <f t="shared" si="3"/>
        <v>0.92939493959064212</v>
      </c>
      <c r="AG25" s="6">
        <f t="shared" ref="AG25:AG60" si="29">-$X25*M25</f>
        <v>-46.469746979532104</v>
      </c>
      <c r="AH25" s="6">
        <f t="shared" si="20"/>
        <v>-775.586001755746</v>
      </c>
      <c r="AI25" s="6">
        <f t="shared" si="23"/>
        <v>-822.05574873527814</v>
      </c>
      <c r="AJ25" s="6">
        <f t="shared" si="21"/>
        <v>7.1340722065604822E-2</v>
      </c>
      <c r="AK25" s="6">
        <f t="shared" ref="AK25:AK64" si="30">$D$6*SUM(Z25:AA25,AE25:AF25)</f>
        <v>0.30616716623199874</v>
      </c>
      <c r="AL25" s="6">
        <f t="shared" ref="AL25:AL64" si="31">SUM(AI25:AK25)</f>
        <v>-821.67824084698054</v>
      </c>
      <c r="AM25" s="6">
        <f t="shared" ref="AM25:AM64" si="32">AA25-AC25</f>
        <v>7.7558600175574588E-3</v>
      </c>
      <c r="AN25" s="6">
        <f t="shared" ref="AN25:AN64" si="33">AL25+AM25</f>
        <v>-821.67048498696295</v>
      </c>
      <c r="AR25" s="126"/>
      <c r="AS25" s="23"/>
      <c r="AT25" s="32"/>
      <c r="AU25" s="23"/>
      <c r="AV25" s="32"/>
      <c r="AW25" s="32"/>
      <c r="AX25" s="23"/>
    </row>
    <row r="26" spans="1:50" x14ac:dyDescent="0.15">
      <c r="B26" s="3" t="s">
        <v>66</v>
      </c>
      <c r="C26" s="10">
        <f>H3*1.2</f>
        <v>58217.299199999994</v>
      </c>
      <c r="F26" s="3"/>
      <c r="G26" s="10"/>
      <c r="I26" s="14">
        <f t="shared" si="11"/>
        <v>67</v>
      </c>
      <c r="J26" s="3">
        <f t="shared" si="12"/>
        <v>22</v>
      </c>
      <c r="K26" s="35"/>
      <c r="L26" s="35"/>
      <c r="M26" s="26">
        <v>50</v>
      </c>
      <c r="N26" s="13">
        <f t="shared" si="13"/>
        <v>100000</v>
      </c>
      <c r="O26" s="30">
        <v>0.1</v>
      </c>
      <c r="P26" s="39">
        <f t="shared" si="27"/>
        <v>10</v>
      </c>
      <c r="Q26" s="39">
        <f t="shared" si="28"/>
        <v>1</v>
      </c>
      <c r="R26" s="35"/>
      <c r="S26" s="43">
        <f>IFERROR(VLOOKUP(I26,'Mortality Table Latest'!$A$3:$E$123,4,FALSE)*1000,1)</f>
        <v>9.0419999999999998</v>
      </c>
      <c r="T26" s="35"/>
      <c r="U26" s="37">
        <f t="shared" si="14"/>
        <v>0.92939493959064212</v>
      </c>
      <c r="V26" s="37">
        <f t="shared" si="15"/>
        <v>8.4035890437785862E-3</v>
      </c>
      <c r="W26" s="35"/>
      <c r="X26" s="36">
        <f t="shared" si="19"/>
        <v>0.92099135054686354</v>
      </c>
      <c r="Y26" s="35"/>
      <c r="Z26" s="6">
        <f t="shared" si="26"/>
        <v>9.2939493959064219</v>
      </c>
      <c r="AA26" s="6">
        <f t="shared" si="26"/>
        <v>0.92939493959064212</v>
      </c>
      <c r="AB26" s="6">
        <f t="shared" si="2"/>
        <v>9.2099135054686361</v>
      </c>
      <c r="AC26" s="6">
        <f t="shared" si="3"/>
        <v>0.92099135054686354</v>
      </c>
      <c r="AG26" s="6">
        <f t="shared" si="29"/>
        <v>-46.049567527343179</v>
      </c>
      <c r="AH26" s="6">
        <f t="shared" si="20"/>
        <v>-840.35890437785861</v>
      </c>
      <c r="AI26" s="6">
        <f t="shared" si="23"/>
        <v>-886.40847190520174</v>
      </c>
      <c r="AJ26" s="6">
        <f t="shared" si="21"/>
        <v>7.755860017557431E-2</v>
      </c>
      <c r="AK26" s="6">
        <f t="shared" si="30"/>
        <v>0.3036333267642628</v>
      </c>
      <c r="AL26" s="6">
        <f t="shared" si="31"/>
        <v>-886.02727997826184</v>
      </c>
      <c r="AM26" s="6">
        <f t="shared" si="32"/>
        <v>8.403589043778581E-3</v>
      </c>
      <c r="AN26" s="6">
        <f t="shared" si="33"/>
        <v>-886.01887638921812</v>
      </c>
      <c r="AR26" s="126"/>
      <c r="AS26" s="28"/>
      <c r="AT26" s="28"/>
      <c r="AU26" s="23"/>
      <c r="AV26" s="32"/>
      <c r="AW26" s="32"/>
      <c r="AX26" s="23"/>
    </row>
    <row r="27" spans="1:50" x14ac:dyDescent="0.15">
      <c r="B27" s="3"/>
      <c r="C27" s="10"/>
      <c r="F27" s="3"/>
      <c r="G27" s="10"/>
      <c r="I27" s="14">
        <f t="shared" si="11"/>
        <v>68</v>
      </c>
      <c r="J27" s="3">
        <f t="shared" si="12"/>
        <v>23</v>
      </c>
      <c r="M27" s="26">
        <v>50</v>
      </c>
      <c r="N27" s="13">
        <f t="shared" si="13"/>
        <v>100000</v>
      </c>
      <c r="O27" s="30">
        <v>0.1</v>
      </c>
      <c r="P27" s="39">
        <f t="shared" si="27"/>
        <v>10</v>
      </c>
      <c r="Q27" s="39">
        <f t="shared" si="28"/>
        <v>1</v>
      </c>
      <c r="S27" s="43">
        <f>IFERROR(VLOOKUP(I27,'Mortality Table Latest'!$A$3:$E$123,4,FALSE)*1000,1)</f>
        <v>9.9060000000000006</v>
      </c>
      <c r="U27" s="37">
        <f t="shared" si="14"/>
        <v>0.92099135054686354</v>
      </c>
      <c r="V27" s="37">
        <f t="shared" si="15"/>
        <v>9.1233403185172306E-3</v>
      </c>
      <c r="X27" s="36">
        <f t="shared" si="19"/>
        <v>0.91186801022834629</v>
      </c>
      <c r="Z27" s="6">
        <f t="shared" si="26"/>
        <v>9.2099135054686361</v>
      </c>
      <c r="AA27" s="6">
        <f t="shared" si="26"/>
        <v>0.92099135054686354</v>
      </c>
      <c r="AB27" s="6">
        <f t="shared" si="2"/>
        <v>9.1186801022834629</v>
      </c>
      <c r="AC27" s="6">
        <f t="shared" si="3"/>
        <v>0.91186801022834629</v>
      </c>
      <c r="AG27" s="6">
        <f t="shared" si="29"/>
        <v>-45.593400511417315</v>
      </c>
      <c r="AH27" s="6">
        <f t="shared" si="20"/>
        <v>-912.33403185172301</v>
      </c>
      <c r="AI27" s="6">
        <f t="shared" si="23"/>
        <v>-957.92743236314027</v>
      </c>
      <c r="AJ27" s="6">
        <f t="shared" si="21"/>
        <v>8.4035890437784977E-2</v>
      </c>
      <c r="AK27" s="6">
        <f t="shared" si="30"/>
        <v>0.30088787422366037</v>
      </c>
      <c r="AL27" s="6">
        <f t="shared" si="31"/>
        <v>-957.54250859847878</v>
      </c>
      <c r="AM27" s="6">
        <f t="shared" si="32"/>
        <v>9.1233403185172479E-3</v>
      </c>
      <c r="AN27" s="6">
        <f t="shared" si="33"/>
        <v>-957.53338525816025</v>
      </c>
      <c r="AR27" s="63"/>
      <c r="AS27" s="32"/>
      <c r="AT27" s="32"/>
      <c r="AU27" s="23"/>
      <c r="AV27" s="32"/>
      <c r="AW27" s="32"/>
      <c r="AX27" s="23"/>
    </row>
    <row r="28" spans="1:50" x14ac:dyDescent="0.15">
      <c r="B28" s="3"/>
      <c r="C28" s="10"/>
      <c r="F28" s="3"/>
      <c r="G28" s="10"/>
      <c r="I28" s="14">
        <f t="shared" si="11"/>
        <v>69</v>
      </c>
      <c r="J28" s="3">
        <f t="shared" si="12"/>
        <v>24</v>
      </c>
      <c r="M28" s="26">
        <v>50</v>
      </c>
      <c r="N28" s="13">
        <f t="shared" si="13"/>
        <v>100000</v>
      </c>
      <c r="O28" s="30">
        <v>0.1</v>
      </c>
      <c r="P28" s="39">
        <f t="shared" si="27"/>
        <v>10</v>
      </c>
      <c r="Q28" s="39">
        <f t="shared" si="28"/>
        <v>1</v>
      </c>
      <c r="S28" s="43">
        <f>IFERROR(VLOOKUP(I28,'Mortality Table Latest'!$A$3:$E$123,4,FALSE)*1000,1)</f>
        <v>10.879</v>
      </c>
      <c r="U28" s="37">
        <f t="shared" si="14"/>
        <v>0.91186801022834629</v>
      </c>
      <c r="V28" s="37">
        <f t="shared" si="15"/>
        <v>9.9202120832741804E-3</v>
      </c>
      <c r="X28" s="36">
        <f t="shared" si="19"/>
        <v>0.90194779814507209</v>
      </c>
      <c r="Z28" s="6">
        <f>AB27</f>
        <v>9.1186801022834629</v>
      </c>
      <c r="AA28" s="6">
        <f t="shared" si="26"/>
        <v>0.91186801022834629</v>
      </c>
      <c r="AB28" s="6">
        <f t="shared" si="2"/>
        <v>9.01947798145072</v>
      </c>
      <c r="AC28" s="6">
        <f t="shared" si="3"/>
        <v>0.90194779814507209</v>
      </c>
      <c r="AD28" s="44"/>
      <c r="AE28" s="13"/>
      <c r="AF28" s="13"/>
      <c r="AG28" s="6">
        <f t="shared" si="29"/>
        <v>-45.097389907253607</v>
      </c>
      <c r="AH28" s="6">
        <f t="shared" si="20"/>
        <v>-992.02120832741809</v>
      </c>
      <c r="AI28" s="6">
        <f t="shared" si="23"/>
        <v>-1037.1185982346717</v>
      </c>
      <c r="AJ28" s="6">
        <f t="shared" si="21"/>
        <v>9.1233403185173034E-2</v>
      </c>
      <c r="AK28" s="6">
        <f t="shared" si="30"/>
        <v>0.29790727894160074</v>
      </c>
      <c r="AL28" s="6">
        <f t="shared" si="31"/>
        <v>-1036.7294575525448</v>
      </c>
      <c r="AM28" s="6">
        <f t="shared" si="32"/>
        <v>9.9202120832742047E-3</v>
      </c>
      <c r="AN28" s="6">
        <f t="shared" si="33"/>
        <v>-1036.7195373404616</v>
      </c>
      <c r="AR28" s="63"/>
      <c r="AS28" s="94"/>
      <c r="AT28" s="94">
        <f>SUMPRODUCT(AS5:AS24,AT5:AT24)</f>
        <v>-4289282.9970262581</v>
      </c>
    </row>
    <row r="29" spans="1:50" x14ac:dyDescent="0.15">
      <c r="A29" s="51" t="s">
        <v>86</v>
      </c>
      <c r="B29" s="3">
        <v>0</v>
      </c>
      <c r="C29" s="10"/>
      <c r="F29" s="3"/>
      <c r="G29" s="10"/>
      <c r="I29" s="14">
        <f t="shared" si="11"/>
        <v>70</v>
      </c>
      <c r="J29" s="3">
        <f t="shared" si="12"/>
        <v>25</v>
      </c>
      <c r="M29" s="26">
        <v>50</v>
      </c>
      <c r="N29" s="13">
        <f t="shared" si="13"/>
        <v>100000</v>
      </c>
      <c r="O29" s="30">
        <v>0.1</v>
      </c>
      <c r="P29" s="39">
        <f t="shared" si="27"/>
        <v>10</v>
      </c>
      <c r="Q29" s="39">
        <f t="shared" si="28"/>
        <v>1</v>
      </c>
      <c r="S29" s="43">
        <f>IFERROR(VLOOKUP(I29,'Mortality Table Latest'!$A$3:$E$123,4,FALSE)*1000,1)</f>
        <v>11.993</v>
      </c>
      <c r="U29" s="37">
        <f t="shared" si="14"/>
        <v>0.90194779814507209</v>
      </c>
      <c r="V29" s="37">
        <f t="shared" si="15"/>
        <v>1.0817059943153851E-2</v>
      </c>
      <c r="X29" s="36">
        <f t="shared" si="19"/>
        <v>0.89113073820191824</v>
      </c>
      <c r="Z29" s="6">
        <f t="shared" si="26"/>
        <v>9.01947798145072</v>
      </c>
      <c r="AA29" s="6">
        <f t="shared" si="26"/>
        <v>0.90194779814507209</v>
      </c>
      <c r="AB29" s="6">
        <f t="shared" si="2"/>
        <v>8.9113073820191815</v>
      </c>
      <c r="AC29" s="6">
        <f t="shared" si="3"/>
        <v>0.89113073820191824</v>
      </c>
      <c r="AG29" s="6">
        <f t="shared" si="29"/>
        <v>-44.556536910095915</v>
      </c>
      <c r="AH29" s="6">
        <f t="shared" si="20"/>
        <v>-1081.7059943153849</v>
      </c>
      <c r="AI29" s="6">
        <f t="shared" si="23"/>
        <v>-1126.2625312254809</v>
      </c>
      <c r="AJ29" s="6">
        <f t="shared" si="21"/>
        <v>9.9202120832742061E-2</v>
      </c>
      <c r="AK29" s="6">
        <f t="shared" si="30"/>
        <v>0.29466634565399502</v>
      </c>
      <c r="AL29" s="6">
        <f t="shared" si="31"/>
        <v>-1125.8686627589941</v>
      </c>
      <c r="AM29" s="6">
        <f t="shared" si="32"/>
        <v>1.0817059943153851E-2</v>
      </c>
      <c r="AN29" s="6">
        <f t="shared" si="33"/>
        <v>-1125.857845699051</v>
      </c>
    </row>
    <row r="30" spans="1:50" x14ac:dyDescent="0.15">
      <c r="B30" s="51" t="s">
        <v>107</v>
      </c>
      <c r="F30" s="3"/>
      <c r="G30" s="10"/>
      <c r="I30" s="14">
        <f t="shared" si="11"/>
        <v>71</v>
      </c>
      <c r="J30" s="3">
        <f t="shared" si="12"/>
        <v>26</v>
      </c>
      <c r="M30" s="26">
        <v>50</v>
      </c>
      <c r="N30" s="13">
        <f t="shared" si="13"/>
        <v>100000</v>
      </c>
      <c r="O30" s="30">
        <v>0.1</v>
      </c>
      <c r="P30" s="39">
        <f t="shared" si="27"/>
        <v>10</v>
      </c>
      <c r="Q30" s="39">
        <f t="shared" si="28"/>
        <v>1</v>
      </c>
      <c r="S30" s="43">
        <f>IFERROR(VLOOKUP(I30,'Mortality Table Latest'!$A$3:$E$123,4,FALSE)*1000,1)</f>
        <v>9.7859999999999996</v>
      </c>
      <c r="U30" s="37">
        <f t="shared" si="14"/>
        <v>0.89113073820191824</v>
      </c>
      <c r="V30" s="37">
        <f t="shared" si="15"/>
        <v>8.7206054040439712E-3</v>
      </c>
      <c r="X30" s="36">
        <f t="shared" si="19"/>
        <v>0.88241013279787428</v>
      </c>
      <c r="Z30" s="6">
        <f t="shared" si="26"/>
        <v>8.9113073820191815</v>
      </c>
      <c r="AA30" s="6">
        <f t="shared" si="26"/>
        <v>0.89113073820191824</v>
      </c>
      <c r="AB30" s="6">
        <f t="shared" si="2"/>
        <v>8.8241013279787435</v>
      </c>
      <c r="AC30" s="6">
        <f t="shared" si="3"/>
        <v>0.88241013279787428</v>
      </c>
      <c r="AG30" s="6">
        <f t="shared" si="29"/>
        <v>-44.120506639893712</v>
      </c>
      <c r="AH30" s="6">
        <f t="shared" si="20"/>
        <v>-872.0605404043971</v>
      </c>
      <c r="AI30" s="6">
        <f t="shared" si="23"/>
        <v>-916.18104704429084</v>
      </c>
      <c r="AJ30" s="6">
        <f t="shared" si="21"/>
        <v>0.10817059943153823</v>
      </c>
      <c r="AK30" s="6">
        <f t="shared" si="30"/>
        <v>0.29113241217056668</v>
      </c>
      <c r="AL30" s="6">
        <f t="shared" si="31"/>
        <v>-915.78174403268872</v>
      </c>
      <c r="AM30" s="6">
        <f t="shared" si="32"/>
        <v>8.7206054040439573E-3</v>
      </c>
      <c r="AN30" s="6">
        <f t="shared" si="33"/>
        <v>-915.77302342728467</v>
      </c>
    </row>
    <row r="31" spans="1:50" x14ac:dyDescent="0.15">
      <c r="B31" s="51" t="s">
        <v>108</v>
      </c>
      <c r="C31" s="51" t="s">
        <v>109</v>
      </c>
      <c r="F31" s="3"/>
      <c r="G31" s="10"/>
      <c r="H31" s="51"/>
      <c r="I31" s="14">
        <f t="shared" si="11"/>
        <v>72</v>
      </c>
      <c r="J31" s="3">
        <f t="shared" si="12"/>
        <v>27</v>
      </c>
      <c r="M31" s="26">
        <v>50</v>
      </c>
      <c r="N31" s="13">
        <f t="shared" si="13"/>
        <v>100000</v>
      </c>
      <c r="O31" s="30">
        <v>0.1</v>
      </c>
      <c r="P31" s="39">
        <f t="shared" si="27"/>
        <v>10</v>
      </c>
      <c r="Q31" s="39">
        <f t="shared" si="28"/>
        <v>1</v>
      </c>
      <c r="S31" s="43">
        <f>IFERROR(VLOOKUP(I31,'Mortality Table Latest'!$A$3:$E$123,4,FALSE)*1000,1)</f>
        <v>10.878</v>
      </c>
      <c r="U31" s="37">
        <f t="shared" si="14"/>
        <v>0.88241013279787428</v>
      </c>
      <c r="V31" s="37">
        <f t="shared" si="15"/>
        <v>9.5988574245752765E-3</v>
      </c>
      <c r="X31" s="36">
        <f t="shared" si="19"/>
        <v>0.87281127537329906</v>
      </c>
      <c r="Z31" s="6">
        <f t="shared" si="26"/>
        <v>8.8241013279787435</v>
      </c>
      <c r="AA31" s="6">
        <f t="shared" si="26"/>
        <v>0.88241013279787428</v>
      </c>
      <c r="AB31" s="6">
        <f t="shared" si="2"/>
        <v>8.7281127537329901</v>
      </c>
      <c r="AC31" s="6">
        <f t="shared" si="3"/>
        <v>0.87281127537329906</v>
      </c>
      <c r="AD31" s="51"/>
      <c r="AE31" s="45"/>
      <c r="AF31" s="45"/>
      <c r="AG31" s="6">
        <f t="shared" si="29"/>
        <v>-43.640563768664954</v>
      </c>
      <c r="AH31" s="6">
        <f t="shared" si="20"/>
        <v>-959.88574245752761</v>
      </c>
      <c r="AI31" s="6">
        <f t="shared" si="23"/>
        <v>-1003.5263062261926</v>
      </c>
      <c r="AJ31" s="6">
        <f t="shared" si="21"/>
        <v>8.7206054040439573E-2</v>
      </c>
      <c r="AK31" s="6">
        <f t="shared" si="30"/>
        <v>0.28828339038506556</v>
      </c>
      <c r="AL31" s="6">
        <f t="shared" si="31"/>
        <v>-1003.150816781767</v>
      </c>
      <c r="AM31" s="6">
        <f t="shared" si="32"/>
        <v>9.5988574245752245E-3</v>
      </c>
      <c r="AN31" s="6">
        <f t="shared" si="33"/>
        <v>-1003.1412179243425</v>
      </c>
    </row>
    <row r="32" spans="1:50" x14ac:dyDescent="0.15">
      <c r="B32" s="51" t="s">
        <v>18</v>
      </c>
      <c r="C32" t="s">
        <v>110</v>
      </c>
      <c r="F32" s="3"/>
      <c r="G32" s="10"/>
      <c r="H32" s="51"/>
      <c r="I32" s="14">
        <f t="shared" si="11"/>
        <v>73</v>
      </c>
      <c r="J32" s="3">
        <f t="shared" si="12"/>
        <v>28</v>
      </c>
      <c r="M32" s="26">
        <v>50</v>
      </c>
      <c r="N32" s="13">
        <f t="shared" si="13"/>
        <v>100000</v>
      </c>
      <c r="O32" s="30">
        <v>0.1</v>
      </c>
      <c r="P32" s="39">
        <f t="shared" si="27"/>
        <v>10</v>
      </c>
      <c r="Q32" s="39">
        <f t="shared" si="28"/>
        <v>1</v>
      </c>
      <c r="S32" s="43">
        <f>IFERROR(VLOOKUP(I32,'Mortality Table Latest'!$A$3:$E$123,4,FALSE)*1000,1)</f>
        <v>12.179</v>
      </c>
      <c r="U32" s="37">
        <f t="shared" si="14"/>
        <v>0.87281127537329906</v>
      </c>
      <c r="V32" s="37">
        <f t="shared" si="15"/>
        <v>1.062996852277141E-2</v>
      </c>
      <c r="X32" s="36">
        <f t="shared" si="19"/>
        <v>0.86218130685052763</v>
      </c>
      <c r="Z32" s="6">
        <f t="shared" si="26"/>
        <v>8.7281127537329901</v>
      </c>
      <c r="AA32" s="6">
        <f t="shared" si="26"/>
        <v>0.87281127537329906</v>
      </c>
      <c r="AB32" s="6">
        <f t="shared" si="2"/>
        <v>8.6218130685052756</v>
      </c>
      <c r="AC32" s="6">
        <f t="shared" si="3"/>
        <v>0.86218130685052763</v>
      </c>
      <c r="AD32" s="51"/>
      <c r="AE32" s="45"/>
      <c r="AF32" s="45"/>
      <c r="AG32" s="6">
        <f t="shared" si="29"/>
        <v>-43.109065342526378</v>
      </c>
      <c r="AH32" s="6">
        <f t="shared" si="20"/>
        <v>-1062.996852277141</v>
      </c>
      <c r="AI32" s="6">
        <f t="shared" si="23"/>
        <v>-1106.1059176196673</v>
      </c>
      <c r="AJ32" s="6">
        <f t="shared" si="21"/>
        <v>9.5988574245751968E-2</v>
      </c>
      <c r="AK32" s="6">
        <f t="shared" si="30"/>
        <v>0.28514744366445682</v>
      </c>
      <c r="AL32" s="6">
        <f t="shared" si="31"/>
        <v>-1105.7247816017571</v>
      </c>
      <c r="AM32" s="6">
        <f t="shared" si="32"/>
        <v>1.0629968522771427E-2</v>
      </c>
      <c r="AN32" s="6">
        <f t="shared" si="33"/>
        <v>-1105.7141516332342</v>
      </c>
    </row>
    <row r="33" spans="2:40" x14ac:dyDescent="0.15">
      <c r="B33" s="51" t="s">
        <v>111</v>
      </c>
      <c r="F33" s="3"/>
      <c r="G33" s="10"/>
      <c r="H33" s="51"/>
      <c r="I33" s="14">
        <f t="shared" si="11"/>
        <v>74</v>
      </c>
      <c r="J33" s="3">
        <f t="shared" si="12"/>
        <v>29</v>
      </c>
      <c r="M33" s="26">
        <v>50</v>
      </c>
      <c r="N33" s="13">
        <f t="shared" si="13"/>
        <v>100000</v>
      </c>
      <c r="O33" s="30">
        <v>0.1</v>
      </c>
      <c r="P33" s="39">
        <f t="shared" si="27"/>
        <v>10</v>
      </c>
      <c r="Q33" s="39">
        <f t="shared" si="28"/>
        <v>1</v>
      </c>
      <c r="S33" s="43">
        <f>IFERROR(VLOOKUP(I33,'Mortality Table Latest'!$A$3:$E$123,4,FALSE)*1000,1)</f>
        <v>13.68</v>
      </c>
      <c r="U33" s="37">
        <f t="shared" si="14"/>
        <v>0.86218130685052763</v>
      </c>
      <c r="V33" s="37">
        <f t="shared" si="15"/>
        <v>1.1794640277715217E-2</v>
      </c>
      <c r="X33" s="36">
        <f t="shared" si="19"/>
        <v>0.85038666657281237</v>
      </c>
      <c r="Z33" s="6">
        <f t="shared" si="26"/>
        <v>8.6218130685052756</v>
      </c>
      <c r="AA33" s="6">
        <f t="shared" si="26"/>
        <v>0.86218130685052763</v>
      </c>
      <c r="AB33" s="6">
        <f t="shared" si="2"/>
        <v>8.5038666657281237</v>
      </c>
      <c r="AC33" s="6">
        <f t="shared" si="3"/>
        <v>0.85038666657281237</v>
      </c>
      <c r="AG33" s="6">
        <f t="shared" si="29"/>
        <v>-42.51933332864062</v>
      </c>
      <c r="AH33" s="6">
        <f t="shared" si="20"/>
        <v>-1179.4640277715218</v>
      </c>
      <c r="AI33" s="6">
        <f t="shared" si="23"/>
        <v>-1221.9833611001625</v>
      </c>
      <c r="AJ33" s="6">
        <f t="shared" si="21"/>
        <v>0.10629968522771482</v>
      </c>
      <c r="AK33" s="6">
        <f t="shared" si="30"/>
        <v>0.28167463294806733</v>
      </c>
      <c r="AL33" s="6">
        <f t="shared" si="31"/>
        <v>-1221.5953867819867</v>
      </c>
      <c r="AM33" s="6">
        <f t="shared" si="32"/>
        <v>1.1794640277715263E-2</v>
      </c>
      <c r="AN33" s="6">
        <f t="shared" si="33"/>
        <v>-1221.583592141709</v>
      </c>
    </row>
    <row r="34" spans="2:40" x14ac:dyDescent="0.15">
      <c r="B34" s="51" t="s">
        <v>17</v>
      </c>
      <c r="C34" t="s">
        <v>112</v>
      </c>
      <c r="F34" s="3"/>
      <c r="G34" s="10"/>
      <c r="H34" s="51"/>
      <c r="I34" s="14">
        <f t="shared" si="11"/>
        <v>75</v>
      </c>
      <c r="J34" s="3">
        <f t="shared" si="12"/>
        <v>30</v>
      </c>
      <c r="M34" s="26">
        <v>50</v>
      </c>
      <c r="N34" s="13">
        <f t="shared" si="13"/>
        <v>100000</v>
      </c>
      <c r="O34" s="30">
        <v>0.1</v>
      </c>
      <c r="P34" s="39">
        <f t="shared" si="27"/>
        <v>10</v>
      </c>
      <c r="Q34" s="39">
        <f t="shared" si="28"/>
        <v>1</v>
      </c>
      <c r="S34" s="43">
        <f>IFERROR(VLOOKUP(I34,'Mortality Table Latest'!$A$3:$E$123,4,FALSE)*1000,1)</f>
        <v>15.403</v>
      </c>
      <c r="U34" s="37">
        <f t="shared" si="14"/>
        <v>0.85038666657281237</v>
      </c>
      <c r="V34" s="37">
        <f t="shared" si="15"/>
        <v>1.3098505825221029E-2</v>
      </c>
      <c r="X34" s="36">
        <f t="shared" si="19"/>
        <v>0.83728816074759138</v>
      </c>
      <c r="Z34" s="6">
        <f t="shared" si="26"/>
        <v>8.5038666657281237</v>
      </c>
      <c r="AA34" s="6">
        <f t="shared" si="26"/>
        <v>0.85038666657281237</v>
      </c>
      <c r="AB34" s="6">
        <f t="shared" si="2"/>
        <v>8.3728816074759145</v>
      </c>
      <c r="AC34" s="6">
        <f t="shared" si="3"/>
        <v>0.83728816074759138</v>
      </c>
      <c r="AG34" s="6">
        <f t="shared" si="29"/>
        <v>-41.864408037379569</v>
      </c>
      <c r="AH34" s="6">
        <f t="shared" si="20"/>
        <v>-1309.8505825221027</v>
      </c>
      <c r="AI34" s="6">
        <f t="shared" si="23"/>
        <v>-1351.7149905594822</v>
      </c>
      <c r="AJ34" s="6">
        <f t="shared" si="21"/>
        <v>0.11794640277715263</v>
      </c>
      <c r="AK34" s="6">
        <f t="shared" si="30"/>
        <v>0.27782132396933779</v>
      </c>
      <c r="AL34" s="6">
        <f t="shared" si="31"/>
        <v>-1351.3192228327357</v>
      </c>
      <c r="AM34" s="6">
        <f t="shared" si="32"/>
        <v>1.3098505825220985E-2</v>
      </c>
      <c r="AN34" s="6">
        <f t="shared" si="33"/>
        <v>-1351.3061243269105</v>
      </c>
    </row>
    <row r="35" spans="2:40" x14ac:dyDescent="0.15">
      <c r="B35" s="51" t="s">
        <v>24</v>
      </c>
      <c r="F35" s="3"/>
      <c r="G35" s="10"/>
      <c r="H35" s="51"/>
      <c r="I35" s="14">
        <f t="shared" si="11"/>
        <v>76</v>
      </c>
      <c r="J35" s="3">
        <f t="shared" si="12"/>
        <v>31</v>
      </c>
      <c r="M35" s="26">
        <v>50</v>
      </c>
      <c r="N35" s="13">
        <f t="shared" si="13"/>
        <v>100000</v>
      </c>
      <c r="O35" s="30">
        <v>0.1</v>
      </c>
      <c r="P35" s="39">
        <f t="shared" si="27"/>
        <v>10</v>
      </c>
      <c r="Q35" s="39">
        <f t="shared" si="28"/>
        <v>1</v>
      </c>
      <c r="S35" s="43">
        <f>IFERROR(VLOOKUP(I35,'Mortality Table Latest'!$A$3:$E$123,4,FALSE)*1000,1)</f>
        <v>17.393999999999998</v>
      </c>
      <c r="U35" s="37">
        <f t="shared" si="14"/>
        <v>0.83728816074759138</v>
      </c>
      <c r="V35" s="37">
        <f t="shared" si="15"/>
        <v>1.4563790268043603E-2</v>
      </c>
      <c r="X35" s="36">
        <f t="shared" si="19"/>
        <v>0.82272437047954783</v>
      </c>
      <c r="Z35" s="6">
        <f t="shared" si="26"/>
        <v>8.3728816074759145</v>
      </c>
      <c r="AA35" s="6">
        <f t="shared" si="26"/>
        <v>0.83728816074759138</v>
      </c>
      <c r="AB35" s="6">
        <f t="shared" si="2"/>
        <v>8.2272437047954785</v>
      </c>
      <c r="AC35" s="6">
        <f t="shared" si="3"/>
        <v>0.82272437047954783</v>
      </c>
      <c r="AG35" s="6">
        <f t="shared" si="29"/>
        <v>-41.136218523977391</v>
      </c>
      <c r="AH35" s="6">
        <f t="shared" si="20"/>
        <v>-1456.3790268043604</v>
      </c>
      <c r="AI35" s="6">
        <f t="shared" si="23"/>
        <v>-1497.5152453283376</v>
      </c>
      <c r="AJ35" s="6">
        <f t="shared" si="21"/>
        <v>0.13098505825221013</v>
      </c>
      <c r="AK35" s="6">
        <f t="shared" si="30"/>
        <v>0.27354204211623817</v>
      </c>
      <c r="AL35" s="6">
        <f t="shared" si="31"/>
        <v>-1497.1107182279691</v>
      </c>
      <c r="AM35" s="6">
        <f t="shared" si="32"/>
        <v>1.4563790268043553E-2</v>
      </c>
      <c r="AN35" s="6">
        <f t="shared" si="33"/>
        <v>-1497.096154437701</v>
      </c>
    </row>
    <row r="36" spans="2:40" x14ac:dyDescent="0.15">
      <c r="B36" s="51" t="s">
        <v>113</v>
      </c>
      <c r="F36" s="3"/>
      <c r="G36" s="10"/>
      <c r="H36" s="51"/>
      <c r="I36" s="14">
        <f t="shared" si="11"/>
        <v>77</v>
      </c>
      <c r="J36" s="3">
        <f t="shared" si="12"/>
        <v>32</v>
      </c>
      <c r="M36" s="26">
        <v>50</v>
      </c>
      <c r="N36" s="13">
        <f t="shared" si="13"/>
        <v>100000</v>
      </c>
      <c r="O36" s="30">
        <v>0.1</v>
      </c>
      <c r="P36" s="39">
        <f t="shared" si="27"/>
        <v>10</v>
      </c>
      <c r="Q36" s="39">
        <f t="shared" si="28"/>
        <v>1</v>
      </c>
      <c r="S36" s="43">
        <f>IFERROR(VLOOKUP(I36,'Mortality Table Latest'!$A$3:$E$123,4,FALSE)*1000,1)</f>
        <v>19.619999999999997</v>
      </c>
      <c r="U36" s="37">
        <f t="shared" si="14"/>
        <v>0.82272437047954783</v>
      </c>
      <c r="V36" s="37">
        <f t="shared" si="15"/>
        <v>1.6141852148808727E-2</v>
      </c>
      <c r="X36" s="36">
        <f t="shared" si="19"/>
        <v>0.80658251833073913</v>
      </c>
      <c r="Z36" s="6">
        <f t="shared" si="26"/>
        <v>8.2272437047954785</v>
      </c>
      <c r="AA36" s="6">
        <f t="shared" si="26"/>
        <v>0.82272437047954783</v>
      </c>
      <c r="AB36" s="6">
        <f t="shared" si="2"/>
        <v>8.0658251833073908</v>
      </c>
      <c r="AC36" s="6">
        <f t="shared" si="3"/>
        <v>0.80658251833073913</v>
      </c>
      <c r="AG36" s="6">
        <f t="shared" si="29"/>
        <v>-40.32912591653696</v>
      </c>
      <c r="AH36" s="6">
        <f t="shared" si="20"/>
        <v>-1614.1852148808728</v>
      </c>
      <c r="AI36" s="6">
        <f t="shared" si="23"/>
        <v>-1654.5143407974097</v>
      </c>
      <c r="AJ36" s="6">
        <f t="shared" si="21"/>
        <v>0.1456379026804358</v>
      </c>
      <c r="AK36" s="6">
        <f t="shared" si="30"/>
        <v>0.26878405183566828</v>
      </c>
      <c r="AL36" s="6">
        <f t="shared" si="31"/>
        <v>-1654.0999188428937</v>
      </c>
      <c r="AM36" s="6">
        <f t="shared" si="32"/>
        <v>1.61418521488087E-2</v>
      </c>
      <c r="AN36" s="6">
        <f t="shared" si="33"/>
        <v>-1654.0837769907448</v>
      </c>
    </row>
    <row r="37" spans="2:40" x14ac:dyDescent="0.15">
      <c r="B37" s="51" t="s">
        <v>114</v>
      </c>
      <c r="F37" s="3"/>
      <c r="G37" s="10"/>
      <c r="H37" s="51"/>
      <c r="I37" s="14">
        <f t="shared" si="11"/>
        <v>78</v>
      </c>
      <c r="J37" s="3">
        <f t="shared" si="12"/>
        <v>33</v>
      </c>
      <c r="M37" s="26">
        <v>50</v>
      </c>
      <c r="N37" s="13">
        <f t="shared" si="13"/>
        <v>100000</v>
      </c>
      <c r="O37" s="30">
        <v>0.1</v>
      </c>
      <c r="P37" s="39">
        <f t="shared" si="27"/>
        <v>10</v>
      </c>
      <c r="Q37" s="39">
        <f t="shared" si="28"/>
        <v>1</v>
      </c>
      <c r="S37" s="43">
        <f>IFERROR(VLOOKUP(I37,'Mortality Table Latest'!$A$3:$E$123,4,FALSE)*1000,1)</f>
        <v>22.096999999999998</v>
      </c>
      <c r="U37" s="37">
        <f t="shared" si="14"/>
        <v>0.80658251833073913</v>
      </c>
      <c r="V37" s="37">
        <f t="shared" si="15"/>
        <v>1.7823053907554339E-2</v>
      </c>
      <c r="X37" s="36">
        <f t="shared" si="19"/>
        <v>0.78875946442318479</v>
      </c>
      <c r="Z37" s="6">
        <f t="shared" si="26"/>
        <v>8.0658251833073908</v>
      </c>
      <c r="AA37" s="6">
        <f t="shared" si="26"/>
        <v>0.80658251833073913</v>
      </c>
      <c r="AB37" s="6">
        <f t="shared" si="2"/>
        <v>7.8875946442318483</v>
      </c>
      <c r="AC37" s="6">
        <f t="shared" si="3"/>
        <v>0.78875946442318479</v>
      </c>
      <c r="AG37" s="6">
        <f t="shared" si="29"/>
        <v>-39.43797322115924</v>
      </c>
      <c r="AH37" s="6">
        <f t="shared" si="20"/>
        <v>-1782.305390755434</v>
      </c>
      <c r="AI37" s="6">
        <f t="shared" si="23"/>
        <v>-1821.7433639765932</v>
      </c>
      <c r="AJ37" s="6">
        <f t="shared" si="21"/>
        <v>0.16141852148808672</v>
      </c>
      <c r="AK37" s="6">
        <f t="shared" si="30"/>
        <v>0.26351050873865245</v>
      </c>
      <c r="AL37" s="6">
        <f t="shared" si="31"/>
        <v>-1821.3184349463666</v>
      </c>
      <c r="AM37" s="6">
        <f t="shared" si="32"/>
        <v>1.7823053907554343E-2</v>
      </c>
      <c r="AN37" s="6">
        <f t="shared" si="33"/>
        <v>-1821.3006118924591</v>
      </c>
    </row>
    <row r="38" spans="2:40" x14ac:dyDescent="0.15">
      <c r="B38" s="56" t="s">
        <v>17</v>
      </c>
      <c r="C38" s="4">
        <v>0.1</v>
      </c>
      <c r="F38" s="3"/>
      <c r="G38" s="10"/>
      <c r="H38" s="51"/>
      <c r="I38" s="14">
        <f t="shared" si="11"/>
        <v>79</v>
      </c>
      <c r="J38" s="3">
        <f t="shared" si="12"/>
        <v>34</v>
      </c>
      <c r="M38" s="26">
        <v>50</v>
      </c>
      <c r="N38" s="13">
        <f t="shared" si="13"/>
        <v>100000</v>
      </c>
      <c r="O38" s="30">
        <v>0.1</v>
      </c>
      <c r="P38" s="39">
        <f t="shared" si="27"/>
        <v>10</v>
      </c>
      <c r="Q38" s="39">
        <f t="shared" si="28"/>
        <v>1</v>
      </c>
      <c r="S38" s="43">
        <f>IFERROR(VLOOKUP(I38,'Mortality Table Latest'!$A$3:$E$123,4,FALSE)*1000,1)</f>
        <v>24.8</v>
      </c>
      <c r="U38" s="37">
        <f t="shared" si="14"/>
        <v>0.78875946442318479</v>
      </c>
      <c r="V38" s="37">
        <f t="shared" si="15"/>
        <v>1.9561234717694984E-2</v>
      </c>
      <c r="X38" s="36">
        <f t="shared" si="19"/>
        <v>0.76919822970548979</v>
      </c>
      <c r="Z38" s="6">
        <f t="shared" ref="Z38:AA64" si="34">AB37</f>
        <v>7.8875946442318483</v>
      </c>
      <c r="AA38" s="6">
        <f t="shared" si="34"/>
        <v>0.78875946442318479</v>
      </c>
      <c r="AB38" s="6">
        <f t="shared" si="2"/>
        <v>7.6919822970548974</v>
      </c>
      <c r="AC38" s="6">
        <f t="shared" si="3"/>
        <v>0.76919822970548979</v>
      </c>
      <c r="AG38" s="6">
        <f t="shared" si="29"/>
        <v>-38.459911485274489</v>
      </c>
      <c r="AH38" s="6">
        <f t="shared" si="20"/>
        <v>-1956.1234717694983</v>
      </c>
      <c r="AI38" s="6">
        <f t="shared" si="23"/>
        <v>-1994.5833832547728</v>
      </c>
      <c r="AJ38" s="6">
        <f t="shared" si="21"/>
        <v>0.17823053907554259</v>
      </c>
      <c r="AK38" s="6">
        <f t="shared" si="30"/>
        <v>0.25768771702705451</v>
      </c>
      <c r="AL38" s="6">
        <f t="shared" si="31"/>
        <v>-1994.1474649986703</v>
      </c>
      <c r="AM38" s="6">
        <f t="shared" si="32"/>
        <v>1.9561234717694997E-2</v>
      </c>
      <c r="AN38" s="6">
        <f t="shared" si="33"/>
        <v>-1994.1279037639526</v>
      </c>
    </row>
    <row r="39" spans="2:40" x14ac:dyDescent="0.15">
      <c r="B39" s="3"/>
      <c r="C39" s="10"/>
      <c r="F39" s="3"/>
      <c r="G39" s="10"/>
      <c r="I39" s="14">
        <f t="shared" si="11"/>
        <v>80</v>
      </c>
      <c r="J39" s="3">
        <f t="shared" si="12"/>
        <v>35</v>
      </c>
      <c r="M39" s="26">
        <v>50</v>
      </c>
      <c r="N39" s="13">
        <f t="shared" si="13"/>
        <v>100000</v>
      </c>
      <c r="O39" s="30">
        <v>0.1</v>
      </c>
      <c r="P39" s="39">
        <f t="shared" si="27"/>
        <v>10</v>
      </c>
      <c r="Q39" s="39">
        <f t="shared" si="28"/>
        <v>1</v>
      </c>
      <c r="S39" s="43">
        <f>IFERROR(VLOOKUP(I39,'Mortality Table Latest'!$A$3:$E$123,4,FALSE)*1000,1)</f>
        <v>27.772000000000002</v>
      </c>
      <c r="U39" s="37">
        <f t="shared" si="14"/>
        <v>0.76919822970548979</v>
      </c>
      <c r="V39" s="37">
        <f t="shared" si="15"/>
        <v>2.1362173235380866E-2</v>
      </c>
      <c r="X39" s="36">
        <f t="shared" si="19"/>
        <v>0.74783605647010898</v>
      </c>
      <c r="Z39" s="6">
        <f t="shared" si="34"/>
        <v>7.6919822970548974</v>
      </c>
      <c r="AA39" s="6">
        <f t="shared" si="34"/>
        <v>0.76919822970548979</v>
      </c>
      <c r="AB39" s="6">
        <f t="shared" si="2"/>
        <v>7.4783605647010898</v>
      </c>
      <c r="AC39" s="6">
        <f t="shared" si="3"/>
        <v>0.74783605647010898</v>
      </c>
      <c r="AG39" s="6">
        <f t="shared" si="29"/>
        <v>-37.391802823505451</v>
      </c>
      <c r="AH39" s="6">
        <f t="shared" si="20"/>
        <v>-2136.2173235380865</v>
      </c>
      <c r="AI39" s="6">
        <f t="shared" si="23"/>
        <v>-2173.6091263615917</v>
      </c>
      <c r="AJ39" s="6">
        <f t="shared" si="21"/>
        <v>0.19561234717695025</v>
      </c>
      <c r="AK39" s="6">
        <f t="shared" si="30"/>
        <v>0.25129706164478349</v>
      </c>
      <c r="AL39" s="6">
        <f t="shared" si="31"/>
        <v>-2173.16221695277</v>
      </c>
      <c r="AM39" s="6">
        <f t="shared" si="32"/>
        <v>2.136217323538081E-2</v>
      </c>
      <c r="AN39" s="6">
        <f t="shared" si="33"/>
        <v>-2173.1408547795345</v>
      </c>
    </row>
    <row r="40" spans="2:40" x14ac:dyDescent="0.15">
      <c r="B40" s="3"/>
      <c r="C40" s="10"/>
      <c r="F40" s="3"/>
      <c r="G40" s="10"/>
      <c r="I40" s="14">
        <f t="shared" si="11"/>
        <v>81</v>
      </c>
      <c r="J40" s="3">
        <f t="shared" si="12"/>
        <v>36</v>
      </c>
      <c r="M40" s="26">
        <v>50</v>
      </c>
      <c r="N40" s="13">
        <f t="shared" si="13"/>
        <v>100000</v>
      </c>
      <c r="O40" s="30">
        <v>0.1</v>
      </c>
      <c r="P40" s="39">
        <f t="shared" si="27"/>
        <v>10</v>
      </c>
      <c r="Q40" s="39">
        <f t="shared" si="28"/>
        <v>1</v>
      </c>
      <c r="S40" s="43">
        <f>IFERROR(VLOOKUP(I40,'Mortality Table Latest'!$A$3:$E$123,4,FALSE)*1000,1)</f>
        <v>31.116</v>
      </c>
      <c r="U40" s="37">
        <f t="shared" si="14"/>
        <v>0.74783605647010898</v>
      </c>
      <c r="V40" s="37">
        <f t="shared" si="15"/>
        <v>2.326966673312391E-2</v>
      </c>
      <c r="X40" s="36">
        <f t="shared" si="19"/>
        <v>0.72456638973698506</v>
      </c>
      <c r="Z40" s="6">
        <f t="shared" si="34"/>
        <v>7.4783605647010898</v>
      </c>
      <c r="AA40" s="6">
        <f t="shared" si="34"/>
        <v>0.74783605647010898</v>
      </c>
      <c r="AB40" s="6">
        <f t="shared" si="2"/>
        <v>7.2456638973698508</v>
      </c>
      <c r="AC40" s="6">
        <f t="shared" si="3"/>
        <v>0.72456638973698506</v>
      </c>
      <c r="AG40" s="6">
        <f t="shared" si="29"/>
        <v>-36.228319486849252</v>
      </c>
      <c r="AH40" s="6">
        <f t="shared" si="20"/>
        <v>-2326.9666733123909</v>
      </c>
      <c r="AI40" s="6">
        <f t="shared" si="23"/>
        <v>-2363.19499279924</v>
      </c>
      <c r="AJ40" s="6">
        <f t="shared" si="21"/>
        <v>0.2136217323538081</v>
      </c>
      <c r="AK40" s="6">
        <f t="shared" si="30"/>
        <v>0.2443180396487846</v>
      </c>
      <c r="AL40" s="6">
        <f t="shared" si="31"/>
        <v>-2362.7370530272374</v>
      </c>
      <c r="AM40" s="6">
        <f t="shared" si="32"/>
        <v>2.3269666733123917E-2</v>
      </c>
      <c r="AN40" s="6">
        <f t="shared" si="33"/>
        <v>-2362.7137833605043</v>
      </c>
    </row>
    <row r="41" spans="2:40" x14ac:dyDescent="0.15">
      <c r="B41" s="3"/>
      <c r="C41" s="10"/>
      <c r="F41" s="3"/>
      <c r="G41" s="10"/>
      <c r="I41" s="14">
        <f t="shared" si="11"/>
        <v>82</v>
      </c>
      <c r="J41" s="3">
        <f t="shared" si="12"/>
        <v>37</v>
      </c>
      <c r="M41" s="26">
        <v>50</v>
      </c>
      <c r="N41" s="13">
        <f t="shared" si="13"/>
        <v>100000</v>
      </c>
      <c r="O41" s="30">
        <v>0.1</v>
      </c>
      <c r="P41" s="39">
        <f t="shared" si="27"/>
        <v>10</v>
      </c>
      <c r="Q41" s="39">
        <f t="shared" si="28"/>
        <v>1</v>
      </c>
      <c r="S41" s="43">
        <f>IFERROR(VLOOKUP(I41,'Mortality Table Latest'!$A$3:$E$123,4,FALSE)*1000,1)</f>
        <v>34.873000000000005</v>
      </c>
      <c r="U41" s="37">
        <f t="shared" si="14"/>
        <v>0.72456638973698506</v>
      </c>
      <c r="V41" s="37">
        <f t="shared" si="15"/>
        <v>2.5267803709297883E-2</v>
      </c>
      <c r="X41" s="36">
        <f t="shared" si="19"/>
        <v>0.69929858602768713</v>
      </c>
      <c r="Z41" s="6">
        <f t="shared" si="34"/>
        <v>7.2456638973698508</v>
      </c>
      <c r="AA41" s="6">
        <f t="shared" si="34"/>
        <v>0.72456638973698506</v>
      </c>
      <c r="AB41" s="6">
        <f t="shared" si="2"/>
        <v>6.9929858602768711</v>
      </c>
      <c r="AC41" s="6">
        <f t="shared" si="3"/>
        <v>0.69929858602768713</v>
      </c>
      <c r="AG41" s="6">
        <f t="shared" si="29"/>
        <v>-34.964929301384359</v>
      </c>
      <c r="AH41" s="6">
        <f t="shared" si="20"/>
        <v>-2526.7803709297882</v>
      </c>
      <c r="AI41" s="6">
        <f t="shared" si="23"/>
        <v>-2561.7453002311727</v>
      </c>
      <c r="AJ41" s="6">
        <f t="shared" si="21"/>
        <v>0.23269666733123917</v>
      </c>
      <c r="AK41" s="6">
        <f t="shared" si="30"/>
        <v>0.23671583952707304</v>
      </c>
      <c r="AL41" s="6">
        <f t="shared" si="31"/>
        <v>-2561.2758877243141</v>
      </c>
      <c r="AM41" s="6">
        <f t="shared" si="32"/>
        <v>2.5267803709297931E-2</v>
      </c>
      <c r="AN41" s="6">
        <f t="shared" si="33"/>
        <v>-2561.250619920605</v>
      </c>
    </row>
    <row r="42" spans="2:40" x14ac:dyDescent="0.15">
      <c r="B42" s="3"/>
      <c r="C42" s="10"/>
      <c r="F42" s="3"/>
      <c r="G42" s="10"/>
      <c r="I42" s="14">
        <f t="shared" si="11"/>
        <v>83</v>
      </c>
      <c r="J42" s="3">
        <f t="shared" si="12"/>
        <v>38</v>
      </c>
      <c r="M42" s="26">
        <v>50</v>
      </c>
      <c r="N42" s="13">
        <f t="shared" si="13"/>
        <v>100000</v>
      </c>
      <c r="O42" s="30">
        <v>0.1</v>
      </c>
      <c r="P42" s="39">
        <f t="shared" si="27"/>
        <v>10</v>
      </c>
      <c r="Q42" s="39">
        <f t="shared" si="28"/>
        <v>1</v>
      </c>
      <c r="S42" s="43">
        <f>IFERROR(VLOOKUP(I42,'Mortality Table Latest'!$A$3:$E$123,4,FALSE)*1000,1)</f>
        <v>39.11</v>
      </c>
      <c r="U42" s="37">
        <f t="shared" si="14"/>
        <v>0.69929858602768713</v>
      </c>
      <c r="V42" s="37">
        <f t="shared" si="15"/>
        <v>2.7349567699542842E-2</v>
      </c>
      <c r="X42" s="36">
        <f t="shared" si="19"/>
        <v>0.67194901832814424</v>
      </c>
      <c r="Z42" s="6">
        <f t="shared" si="34"/>
        <v>6.9929858602768711</v>
      </c>
      <c r="AA42" s="6">
        <f t="shared" si="34"/>
        <v>0.69929858602768713</v>
      </c>
      <c r="AB42" s="6">
        <f>P42*X42</f>
        <v>6.719490183281442</v>
      </c>
      <c r="AC42" s="6">
        <f t="shared" si="3"/>
        <v>0.67194901832814424</v>
      </c>
      <c r="AG42" s="6">
        <f t="shared" si="29"/>
        <v>-33.597450916407212</v>
      </c>
      <c r="AH42" s="6">
        <f t="shared" si="20"/>
        <v>-2734.956769954284</v>
      </c>
      <c r="AI42" s="6">
        <f t="shared" si="23"/>
        <v>-2768.5542208706911</v>
      </c>
      <c r="AJ42" s="6">
        <f t="shared" si="21"/>
        <v>0.25267803709297931</v>
      </c>
      <c r="AK42" s="6">
        <f t="shared" si="30"/>
        <v>0.22846084805524539</v>
      </c>
      <c r="AL42" s="6">
        <f t="shared" si="31"/>
        <v>-2768.0730819855426</v>
      </c>
      <c r="AM42" s="6">
        <f t="shared" si="32"/>
        <v>2.7349567699542887E-2</v>
      </c>
      <c r="AN42" s="6">
        <f t="shared" si="33"/>
        <v>-2768.0457324178428</v>
      </c>
    </row>
    <row r="43" spans="2:40" x14ac:dyDescent="0.15">
      <c r="B43" s="3"/>
      <c r="C43" s="10"/>
      <c r="F43" s="3"/>
      <c r="G43" s="10"/>
      <c r="I43" s="14">
        <f t="shared" si="11"/>
        <v>84</v>
      </c>
      <c r="J43" s="3">
        <f t="shared" si="12"/>
        <v>39</v>
      </c>
      <c r="M43" s="26">
        <v>50</v>
      </c>
      <c r="N43" s="13">
        <f t="shared" si="13"/>
        <v>100000</v>
      </c>
      <c r="O43" s="30">
        <v>0.1</v>
      </c>
      <c r="P43" s="39">
        <f t="shared" si="27"/>
        <v>10</v>
      </c>
      <c r="Q43" s="39">
        <f t="shared" si="28"/>
        <v>1</v>
      </c>
      <c r="S43" s="43">
        <f>IFERROR(VLOOKUP(I43,'Mortality Table Latest'!$A$3:$E$123,4,FALSE)*1000,1)</f>
        <v>43.687999999999995</v>
      </c>
      <c r="U43" s="37">
        <f t="shared" si="14"/>
        <v>0.67194901832814424</v>
      </c>
      <c r="V43" s="37">
        <f t="shared" si="15"/>
        <v>2.9356108712719962E-2</v>
      </c>
      <c r="X43" s="36">
        <f t="shared" si="19"/>
        <v>0.64259290961542426</v>
      </c>
      <c r="Z43" s="6">
        <f t="shared" si="34"/>
        <v>6.719490183281442</v>
      </c>
      <c r="AA43" s="6">
        <f t="shared" si="34"/>
        <v>0.67194901832814424</v>
      </c>
      <c r="AB43" s="6">
        <f t="shared" si="2"/>
        <v>6.4259290961542428</v>
      </c>
      <c r="AC43" s="6">
        <f t="shared" si="3"/>
        <v>0.64259290961542426</v>
      </c>
      <c r="AG43" s="6">
        <f t="shared" si="29"/>
        <v>-32.12964548077121</v>
      </c>
      <c r="AH43" s="6">
        <f t="shared" si="20"/>
        <v>-2935.6108712719961</v>
      </c>
      <c r="AI43" s="6">
        <f t="shared" si="23"/>
        <v>-2967.7405167527672</v>
      </c>
      <c r="AJ43" s="6">
        <f t="shared" si="21"/>
        <v>0.27349567699542915</v>
      </c>
      <c r="AK43" s="6">
        <f t="shared" si="30"/>
        <v>0.21952574428780472</v>
      </c>
      <c r="AL43" s="6">
        <f t="shared" si="31"/>
        <v>-2967.2474953314841</v>
      </c>
      <c r="AM43" s="6">
        <f t="shared" si="32"/>
        <v>2.9356108712719986E-2</v>
      </c>
      <c r="AN43" s="6">
        <f t="shared" si="33"/>
        <v>-2967.2181392227712</v>
      </c>
    </row>
    <row r="44" spans="2:40" x14ac:dyDescent="0.15">
      <c r="B44" s="3"/>
      <c r="C44" s="10"/>
      <c r="F44" s="3"/>
      <c r="G44" s="10"/>
      <c r="I44" s="14">
        <f t="shared" si="11"/>
        <v>85</v>
      </c>
      <c r="J44" s="3">
        <f t="shared" si="12"/>
        <v>40</v>
      </c>
      <c r="M44" s="26">
        <v>50</v>
      </c>
      <c r="N44" s="13">
        <f t="shared" si="13"/>
        <v>100000</v>
      </c>
      <c r="O44" s="30">
        <v>0.1</v>
      </c>
      <c r="P44" s="39">
        <f t="shared" si="27"/>
        <v>10</v>
      </c>
      <c r="Q44" s="39">
        <f t="shared" si="28"/>
        <v>1</v>
      </c>
      <c r="S44" s="43">
        <f>IFERROR(VLOOKUP(I44,'Mortality Table Latest'!$A$3:$E$123,4,FALSE)*1000,1)</f>
        <v>48.471000000000004</v>
      </c>
      <c r="U44" s="37">
        <f t="shared" si="14"/>
        <v>0.64259290961542426</v>
      </c>
      <c r="V44" s="37">
        <f t="shared" si="15"/>
        <v>3.1147120921969234E-2</v>
      </c>
      <c r="X44" s="36">
        <f t="shared" si="19"/>
        <v>0.61144578869345501</v>
      </c>
      <c r="Z44" s="6">
        <f t="shared" si="34"/>
        <v>6.4259290961542428</v>
      </c>
      <c r="AA44" s="6">
        <f t="shared" si="34"/>
        <v>0.64259290961542426</v>
      </c>
      <c r="AB44" s="6">
        <f t="shared" si="2"/>
        <v>6.1144578869345505</v>
      </c>
      <c r="AC44" s="6">
        <f t="shared" si="3"/>
        <v>0.61144578869345501</v>
      </c>
      <c r="AG44" s="6">
        <f t="shared" si="29"/>
        <v>-30.572289434672751</v>
      </c>
      <c r="AH44" s="6">
        <f t="shared" si="20"/>
        <v>-3114.7120921969235</v>
      </c>
      <c r="AI44" s="6">
        <f t="shared" si="23"/>
        <v>-3145.2843816315963</v>
      </c>
      <c r="AJ44" s="6">
        <f t="shared" si="21"/>
        <v>0.29356108712720042</v>
      </c>
      <c r="AK44" s="6">
        <f t="shared" si="30"/>
        <v>0.20993510357135911</v>
      </c>
      <c r="AL44" s="6">
        <f t="shared" si="31"/>
        <v>-3144.7808854408977</v>
      </c>
      <c r="AM44" s="6">
        <f t="shared" si="32"/>
        <v>3.1147120921969251E-2</v>
      </c>
      <c r="AN44" s="6">
        <f t="shared" si="33"/>
        <v>-3144.7497383199757</v>
      </c>
    </row>
    <row r="45" spans="2:40" x14ac:dyDescent="0.15">
      <c r="B45" s="3"/>
      <c r="C45" s="10"/>
      <c r="F45" s="3"/>
      <c r="G45" s="10"/>
      <c r="I45" s="14">
        <f t="shared" si="11"/>
        <v>86</v>
      </c>
      <c r="J45" s="3">
        <f t="shared" si="12"/>
        <v>41</v>
      </c>
      <c r="M45" s="26">
        <v>50</v>
      </c>
      <c r="N45" s="13">
        <f t="shared" si="13"/>
        <v>100000</v>
      </c>
      <c r="O45" s="30">
        <v>0.1</v>
      </c>
      <c r="P45" s="39">
        <f t="shared" si="27"/>
        <v>10</v>
      </c>
      <c r="Q45" s="39">
        <f t="shared" si="28"/>
        <v>1</v>
      </c>
      <c r="S45" s="43">
        <f>IFERROR(VLOOKUP(I45,'Mortality Table Latest'!$A$3:$E$123,4,FALSE)*1000,1)</f>
        <v>61.250999999999998</v>
      </c>
      <c r="U45" s="37">
        <f t="shared" si="14"/>
        <v>0.61144578869345501</v>
      </c>
      <c r="V45" s="37">
        <f t="shared" si="15"/>
        <v>3.7451666003262808E-2</v>
      </c>
      <c r="X45" s="36">
        <f t="shared" si="19"/>
        <v>0.57399412269019223</v>
      </c>
      <c r="Z45" s="6">
        <f t="shared" si="34"/>
        <v>6.1144578869345505</v>
      </c>
      <c r="AA45" s="6">
        <f t="shared" si="34"/>
        <v>0.61144578869345501</v>
      </c>
      <c r="AB45" s="6">
        <f t="shared" si="2"/>
        <v>5.7399412269019221</v>
      </c>
      <c r="AC45" s="6">
        <f t="shared" si="3"/>
        <v>0.57399412269019223</v>
      </c>
      <c r="AG45" s="6">
        <f t="shared" si="29"/>
        <v>-28.699706134509611</v>
      </c>
      <c r="AH45" s="6">
        <f t="shared" si="20"/>
        <v>-3745.1666003262808</v>
      </c>
      <c r="AI45" s="6">
        <f t="shared" si="23"/>
        <v>-3773.8663064607904</v>
      </c>
      <c r="AJ45" s="6">
        <f t="shared" si="21"/>
        <v>0.31147120921969224</v>
      </c>
      <c r="AK45" s="6">
        <f t="shared" si="30"/>
        <v>0.19975933916615177</v>
      </c>
      <c r="AL45" s="6">
        <f t="shared" si="31"/>
        <v>-3773.3550759124046</v>
      </c>
      <c r="AM45" s="6">
        <f t="shared" si="32"/>
        <v>3.7451666003262774E-2</v>
      </c>
      <c r="AN45" s="6">
        <f t="shared" si="33"/>
        <v>-3773.3176242464015</v>
      </c>
    </row>
    <row r="46" spans="2:40" x14ac:dyDescent="0.15">
      <c r="B46" s="3"/>
      <c r="C46" s="10"/>
      <c r="F46" s="3"/>
      <c r="G46" s="10"/>
      <c r="I46" s="14">
        <f t="shared" si="11"/>
        <v>87</v>
      </c>
      <c r="J46" s="3">
        <f t="shared" si="12"/>
        <v>42</v>
      </c>
      <c r="M46" s="26">
        <v>50</v>
      </c>
      <c r="N46" s="13">
        <f t="shared" si="13"/>
        <v>100000</v>
      </c>
      <c r="O46" s="30">
        <v>0.1</v>
      </c>
      <c r="P46" s="39">
        <f t="shared" si="27"/>
        <v>10</v>
      </c>
      <c r="Q46" s="39">
        <f t="shared" si="28"/>
        <v>1</v>
      </c>
      <c r="S46" s="43">
        <f>IFERROR(VLOOKUP(I46,'Mortality Table Latest'!$A$3:$E$123,4,FALSE)*1000,1)</f>
        <v>67.685000000000002</v>
      </c>
      <c r="U46" s="37">
        <f t="shared" si="14"/>
        <v>0.57399412269019223</v>
      </c>
      <c r="V46" s="37">
        <f t="shared" si="15"/>
        <v>3.8850792194285659E-2</v>
      </c>
      <c r="X46" s="36">
        <f t="shared" si="19"/>
        <v>0.53514333049590657</v>
      </c>
      <c r="Z46" s="6">
        <f t="shared" si="34"/>
        <v>5.7399412269019221</v>
      </c>
      <c r="AA46" s="6">
        <f t="shared" si="34"/>
        <v>0.57399412269019223</v>
      </c>
      <c r="AB46" s="6">
        <f t="shared" si="2"/>
        <v>5.3514333049590661</v>
      </c>
      <c r="AC46" s="6">
        <f t="shared" si="3"/>
        <v>0.53514333049590657</v>
      </c>
      <c r="AG46" s="6">
        <f t="shared" si="29"/>
        <v>-26.757166524795327</v>
      </c>
      <c r="AH46" s="6">
        <f t="shared" si="20"/>
        <v>-3885.0792194285659</v>
      </c>
      <c r="AI46" s="6">
        <f t="shared" si="23"/>
        <v>-3911.8363859533611</v>
      </c>
      <c r="AJ46" s="6">
        <f t="shared" si="21"/>
        <v>0.37451666003262762</v>
      </c>
      <c r="AK46" s="6">
        <f t="shared" si="30"/>
        <v>0.1875238798828858</v>
      </c>
      <c r="AL46" s="6">
        <f t="shared" si="31"/>
        <v>-3911.2743454134456</v>
      </c>
      <c r="AM46" s="6">
        <f t="shared" si="32"/>
        <v>3.8850792194285666E-2</v>
      </c>
      <c r="AN46" s="6">
        <f t="shared" si="33"/>
        <v>-3911.2354946212513</v>
      </c>
    </row>
    <row r="47" spans="2:40" x14ac:dyDescent="0.15">
      <c r="I47" s="14">
        <f t="shared" si="11"/>
        <v>88</v>
      </c>
      <c r="J47" s="3">
        <f t="shared" si="12"/>
        <v>43</v>
      </c>
      <c r="M47" s="26">
        <v>50</v>
      </c>
      <c r="N47" s="13">
        <f t="shared" si="13"/>
        <v>100000</v>
      </c>
      <c r="O47" s="30">
        <v>0.1</v>
      </c>
      <c r="P47" s="39">
        <f t="shared" si="27"/>
        <v>10</v>
      </c>
      <c r="Q47" s="39">
        <f t="shared" si="28"/>
        <v>1</v>
      </c>
      <c r="S47" s="43">
        <f>IFERROR(VLOOKUP(I47,'Mortality Table Latest'!$A$3:$E$123,4,FALSE)*1000,1)</f>
        <v>74.774999999999991</v>
      </c>
      <c r="U47" s="37">
        <f t="shared" si="14"/>
        <v>0.53514333049590657</v>
      </c>
      <c r="V47" s="37">
        <f t="shared" si="15"/>
        <v>4.0015342537831407E-2</v>
      </c>
      <c r="X47" s="36">
        <f t="shared" si="19"/>
        <v>0.49512798795807517</v>
      </c>
      <c r="Z47" s="6">
        <f t="shared" si="34"/>
        <v>5.3514333049590661</v>
      </c>
      <c r="AA47" s="6">
        <f t="shared" si="34"/>
        <v>0.53514333049590657</v>
      </c>
      <c r="AB47" s="6">
        <f t="shared" si="2"/>
        <v>4.9512798795807518</v>
      </c>
      <c r="AC47" s="6">
        <f t="shared" si="3"/>
        <v>0.49512798795807517</v>
      </c>
      <c r="AG47" s="6">
        <f t="shared" si="29"/>
        <v>-24.75639939790376</v>
      </c>
      <c r="AH47" s="6">
        <f t="shared" si="20"/>
        <v>-4001.5342537831407</v>
      </c>
      <c r="AI47" s="6">
        <f t="shared" si="23"/>
        <v>-4026.2906531810445</v>
      </c>
      <c r="AJ47" s="6">
        <f t="shared" si="21"/>
        <v>0.38850792194285649</v>
      </c>
      <c r="AK47" s="6">
        <f t="shared" si="30"/>
        <v>0.17483132607301269</v>
      </c>
      <c r="AL47" s="6">
        <f t="shared" si="31"/>
        <v>-4025.7273139330282</v>
      </c>
      <c r="AM47" s="6">
        <f t="shared" si="32"/>
        <v>4.00153425378314E-2</v>
      </c>
      <c r="AN47" s="6">
        <f t="shared" si="33"/>
        <v>-4025.6872985904902</v>
      </c>
    </row>
    <row r="48" spans="2:40" x14ac:dyDescent="0.15">
      <c r="I48" s="14">
        <f t="shared" si="11"/>
        <v>89</v>
      </c>
      <c r="J48" s="3">
        <f t="shared" si="12"/>
        <v>44</v>
      </c>
      <c r="M48" s="26">
        <v>50</v>
      </c>
      <c r="N48" s="13">
        <f t="shared" si="13"/>
        <v>100000</v>
      </c>
      <c r="O48" s="30">
        <v>0.1</v>
      </c>
      <c r="P48" s="39">
        <f t="shared" si="27"/>
        <v>10</v>
      </c>
      <c r="Q48" s="39">
        <f t="shared" si="28"/>
        <v>1</v>
      </c>
      <c r="S48" s="43">
        <f>IFERROR(VLOOKUP(I48,'Mortality Table Latest'!$A$3:$E$123,4,FALSE)*1000,1)</f>
        <v>82.614999999999995</v>
      </c>
      <c r="U48" s="37">
        <f t="shared" si="14"/>
        <v>0.49512798795807517</v>
      </c>
      <c r="V48" s="37">
        <f t="shared" si="15"/>
        <v>4.0904998725156377E-2</v>
      </c>
      <c r="X48" s="36">
        <f t="shared" si="19"/>
        <v>0.45422298923291882</v>
      </c>
      <c r="Z48" s="6">
        <f t="shared" si="34"/>
        <v>4.9512798795807518</v>
      </c>
      <c r="AA48" s="6">
        <f t="shared" si="34"/>
        <v>0.49512798795807517</v>
      </c>
      <c r="AB48" s="6">
        <f t="shared" si="2"/>
        <v>4.5422298923291882</v>
      </c>
      <c r="AC48" s="6">
        <f t="shared" si="3"/>
        <v>0.45422298923291882</v>
      </c>
      <c r="AG48" s="6">
        <f t="shared" si="29"/>
        <v>-22.711149461645942</v>
      </c>
      <c r="AH48" s="6">
        <f t="shared" si="20"/>
        <v>-4090.4998725156379</v>
      </c>
      <c r="AI48" s="6">
        <f t="shared" si="23"/>
        <v>-4113.211021977284</v>
      </c>
      <c r="AJ48" s="6">
        <f t="shared" si="21"/>
        <v>0.40015342537831411</v>
      </c>
      <c r="AK48" s="6">
        <f t="shared" si="30"/>
        <v>0.16175831366590318</v>
      </c>
      <c r="AL48" s="6">
        <f t="shared" si="31"/>
        <v>-4112.6491102382397</v>
      </c>
      <c r="AM48" s="6">
        <f t="shared" si="32"/>
        <v>4.090499872515635E-2</v>
      </c>
      <c r="AN48" s="6">
        <f t="shared" si="33"/>
        <v>-4112.608205239515</v>
      </c>
    </row>
    <row r="49" spans="9:40" x14ac:dyDescent="0.15">
      <c r="I49" s="14">
        <f t="shared" si="11"/>
        <v>90</v>
      </c>
      <c r="J49" s="3">
        <f t="shared" si="12"/>
        <v>45</v>
      </c>
      <c r="M49" s="26">
        <v>50</v>
      </c>
      <c r="N49" s="13">
        <f t="shared" si="13"/>
        <v>100000</v>
      </c>
      <c r="O49" s="30">
        <v>0.1</v>
      </c>
      <c r="P49" s="39">
        <f t="shared" si="27"/>
        <v>10</v>
      </c>
      <c r="Q49" s="39">
        <f t="shared" si="28"/>
        <v>1</v>
      </c>
      <c r="S49" s="43">
        <f>IFERROR(VLOOKUP(I49,'Mortality Table Latest'!$A$3:$E$123,4,FALSE)*1000,1)</f>
        <v>90.402000000000001</v>
      </c>
      <c r="U49" s="37">
        <f t="shared" si="14"/>
        <v>0.45422298923291882</v>
      </c>
      <c r="V49" s="37">
        <f t="shared" si="15"/>
        <v>4.1062666672634328E-2</v>
      </c>
      <c r="X49" s="36">
        <f t="shared" si="19"/>
        <v>0.41316032256028451</v>
      </c>
      <c r="Z49" s="6">
        <f t="shared" si="34"/>
        <v>4.5422298923291882</v>
      </c>
      <c r="AA49" s="6">
        <f t="shared" si="34"/>
        <v>0.45422298923291882</v>
      </c>
      <c r="AB49" s="6">
        <f t="shared" si="2"/>
        <v>4.131603225602845</v>
      </c>
      <c r="AC49" s="6">
        <f t="shared" si="3"/>
        <v>0.41316032256028451</v>
      </c>
      <c r="AG49" s="6">
        <f t="shared" si="29"/>
        <v>-20.658016128014225</v>
      </c>
      <c r="AH49" s="6">
        <f t="shared" si="20"/>
        <v>-4106.2666672634332</v>
      </c>
      <c r="AI49" s="6">
        <f t="shared" si="23"/>
        <v>-4126.9246833914476</v>
      </c>
      <c r="AJ49" s="6">
        <f t="shared" si="21"/>
        <v>0.40904998725156339</v>
      </c>
      <c r="AK49" s="6">
        <f t="shared" si="30"/>
        <v>0.14839465058239457</v>
      </c>
      <c r="AL49" s="6">
        <f t="shared" si="31"/>
        <v>-4126.3672387536135</v>
      </c>
      <c r="AM49" s="6">
        <f t="shared" si="32"/>
        <v>4.1062666672634307E-2</v>
      </c>
      <c r="AN49" s="6">
        <f t="shared" si="33"/>
        <v>-4126.3261760869409</v>
      </c>
    </row>
    <row r="50" spans="9:40" x14ac:dyDescent="0.15">
      <c r="I50" s="14">
        <f t="shared" si="11"/>
        <v>91</v>
      </c>
      <c r="J50" s="3">
        <f t="shared" si="12"/>
        <v>46</v>
      </c>
      <c r="M50" s="26">
        <v>50</v>
      </c>
      <c r="N50" s="13">
        <f t="shared" si="13"/>
        <v>100000</v>
      </c>
      <c r="O50" s="30">
        <v>0.1</v>
      </c>
      <c r="P50" s="39">
        <f t="shared" si="27"/>
        <v>10</v>
      </c>
      <c r="Q50" s="39">
        <f t="shared" si="28"/>
        <v>1</v>
      </c>
      <c r="S50" s="43">
        <f>IFERROR(VLOOKUP(I50,'Mortality Table Latest'!$A$3:$E$123,4,FALSE)*1000,1)</f>
        <v>117.53</v>
      </c>
      <c r="U50" s="37">
        <f t="shared" si="14"/>
        <v>0.41316032256028451</v>
      </c>
      <c r="V50" s="37">
        <f t="shared" si="15"/>
        <v>4.8558732710510241E-2</v>
      </c>
      <c r="X50" s="36">
        <f t="shared" si="19"/>
        <v>0.36460158984977425</v>
      </c>
      <c r="Z50" s="6">
        <f t="shared" si="34"/>
        <v>4.131603225602845</v>
      </c>
      <c r="AA50" s="6">
        <f t="shared" si="34"/>
        <v>0.41316032256028451</v>
      </c>
      <c r="AB50" s="6">
        <f t="shared" si="2"/>
        <v>3.6460158984977427</v>
      </c>
      <c r="AC50" s="6">
        <f t="shared" si="3"/>
        <v>0.36460158984977425</v>
      </c>
      <c r="AG50" s="6">
        <f t="shared" si="29"/>
        <v>-18.230079492488713</v>
      </c>
      <c r="AH50" s="6">
        <f t="shared" si="20"/>
        <v>-4855.8732710510239</v>
      </c>
      <c r="AI50" s="6">
        <f t="shared" si="23"/>
        <v>-4874.1033505435125</v>
      </c>
      <c r="AJ50" s="6">
        <f t="shared" si="21"/>
        <v>0.41062666672634363</v>
      </c>
      <c r="AK50" s="6">
        <f t="shared" si="30"/>
        <v>0.13497947738044497</v>
      </c>
      <c r="AL50" s="6">
        <f t="shared" si="31"/>
        <v>-4873.5577443994052</v>
      </c>
      <c r="AM50" s="6">
        <f t="shared" si="32"/>
        <v>4.8558732710510255E-2</v>
      </c>
      <c r="AN50" s="6">
        <f t="shared" si="33"/>
        <v>-4873.509185666695</v>
      </c>
    </row>
    <row r="51" spans="9:40" x14ac:dyDescent="0.15">
      <c r="I51" s="14">
        <f t="shared" si="11"/>
        <v>92</v>
      </c>
      <c r="J51" s="3">
        <f t="shared" si="12"/>
        <v>47</v>
      </c>
      <c r="M51" s="26">
        <v>50</v>
      </c>
      <c r="N51" s="13">
        <f t="shared" si="13"/>
        <v>100000</v>
      </c>
      <c r="O51" s="30">
        <v>0.1</v>
      </c>
      <c r="P51" s="39">
        <f t="shared" si="27"/>
        <v>10</v>
      </c>
      <c r="Q51" s="39">
        <f t="shared" si="28"/>
        <v>1</v>
      </c>
      <c r="S51" s="43">
        <f>IFERROR(VLOOKUP(I51,'Mortality Table Latest'!$A$3:$E$123,4,FALSE)*1000,1)</f>
        <v>128.01100000000002</v>
      </c>
      <c r="U51" s="37">
        <f t="shared" si="14"/>
        <v>0.36460158984977425</v>
      </c>
      <c r="V51" s="37">
        <f t="shared" si="15"/>
        <v>4.6673014118259457E-2</v>
      </c>
      <c r="X51" s="36">
        <f t="shared" si="19"/>
        <v>0.31792857573151478</v>
      </c>
      <c r="Z51" s="6">
        <f t="shared" si="34"/>
        <v>3.6460158984977427</v>
      </c>
      <c r="AA51" s="6">
        <f t="shared" si="34"/>
        <v>0.36460158984977425</v>
      </c>
      <c r="AB51" s="6">
        <f t="shared" si="2"/>
        <v>3.1792857573151476</v>
      </c>
      <c r="AC51" s="6">
        <f t="shared" si="3"/>
        <v>0.31792857573151478</v>
      </c>
      <c r="AG51" s="6">
        <f t="shared" si="29"/>
        <v>-15.89642878657574</v>
      </c>
      <c r="AH51" s="6">
        <f t="shared" si="20"/>
        <v>-4667.3014118259453</v>
      </c>
      <c r="AI51" s="6">
        <f t="shared" si="23"/>
        <v>-4683.1978406125208</v>
      </c>
      <c r="AJ51" s="6">
        <f t="shared" si="21"/>
        <v>0.48558732710510255</v>
      </c>
      <c r="AK51" s="6">
        <f t="shared" si="30"/>
        <v>0.11911533940392126</v>
      </c>
      <c r="AL51" s="6">
        <f t="shared" si="31"/>
        <v>-4682.5931379460117</v>
      </c>
      <c r="AM51" s="6">
        <f t="shared" si="32"/>
        <v>4.667301411825947E-2</v>
      </c>
      <c r="AN51" s="6">
        <f t="shared" si="33"/>
        <v>-4682.5464649318938</v>
      </c>
    </row>
    <row r="52" spans="9:40" x14ac:dyDescent="0.15">
      <c r="I52" s="14">
        <f t="shared" si="11"/>
        <v>93</v>
      </c>
      <c r="J52" s="3">
        <f t="shared" si="12"/>
        <v>48</v>
      </c>
      <c r="M52" s="26">
        <v>50</v>
      </c>
      <c r="N52" s="13">
        <f t="shared" si="13"/>
        <v>100000</v>
      </c>
      <c r="O52" s="30">
        <v>0.1</v>
      </c>
      <c r="P52" s="39">
        <f t="shared" si="27"/>
        <v>10</v>
      </c>
      <c r="Q52" s="39">
        <f t="shared" si="28"/>
        <v>1</v>
      </c>
      <c r="S52" s="43">
        <f>IFERROR(VLOOKUP(I52,'Mortality Table Latest'!$A$3:$E$123,4,FALSE)*1000,1)</f>
        <v>138.84099999999998</v>
      </c>
      <c r="U52" s="37">
        <f t="shared" si="14"/>
        <v>0.31792857573151478</v>
      </c>
      <c r="V52" s="37">
        <f t="shared" si="15"/>
        <v>4.4141521383139232E-2</v>
      </c>
      <c r="X52" s="36">
        <f t="shared" si="19"/>
        <v>0.27378705434837558</v>
      </c>
      <c r="Z52" s="6">
        <f t="shared" si="34"/>
        <v>3.1792857573151476</v>
      </c>
      <c r="AA52" s="6">
        <f t="shared" si="34"/>
        <v>0.31792857573151478</v>
      </c>
      <c r="AB52" s="6">
        <f t="shared" si="2"/>
        <v>2.7378705434837558</v>
      </c>
      <c r="AC52" s="6">
        <f t="shared" si="3"/>
        <v>0.27378705434837558</v>
      </c>
      <c r="AG52" s="6">
        <f t="shared" si="29"/>
        <v>-13.689352717418778</v>
      </c>
      <c r="AH52" s="6">
        <f t="shared" si="20"/>
        <v>-4414.1521383139234</v>
      </c>
      <c r="AI52" s="6">
        <f t="shared" si="23"/>
        <v>-4427.8414910313422</v>
      </c>
      <c r="AJ52" s="6">
        <f t="shared" si="21"/>
        <v>0.4667301411825947</v>
      </c>
      <c r="AK52" s="6">
        <f t="shared" si="30"/>
        <v>0.10386726569148587</v>
      </c>
      <c r="AL52" s="6">
        <f t="shared" si="31"/>
        <v>-4427.270893624468</v>
      </c>
      <c r="AM52" s="6">
        <f t="shared" si="32"/>
        <v>4.4141521383139204E-2</v>
      </c>
      <c r="AN52" s="6">
        <f t="shared" si="33"/>
        <v>-4427.2267521030853</v>
      </c>
    </row>
    <row r="53" spans="9:40" x14ac:dyDescent="0.15">
      <c r="I53" s="14">
        <f t="shared" si="11"/>
        <v>94</v>
      </c>
      <c r="J53" s="3">
        <f t="shared" si="12"/>
        <v>49</v>
      </c>
      <c r="M53" s="26">
        <v>50</v>
      </c>
      <c r="N53" s="13">
        <f t="shared" si="13"/>
        <v>100000</v>
      </c>
      <c r="O53" s="30">
        <v>0.1</v>
      </c>
      <c r="P53" s="39">
        <f t="shared" si="27"/>
        <v>10</v>
      </c>
      <c r="Q53" s="39">
        <f t="shared" si="28"/>
        <v>1</v>
      </c>
      <c r="S53" s="43">
        <f>IFERROR(VLOOKUP(I53,'Mortality Table Latest'!$A$3:$E$123,4,FALSE)*1000,1)</f>
        <v>150.46</v>
      </c>
      <c r="U53" s="37">
        <f t="shared" si="14"/>
        <v>0.27378705434837558</v>
      </c>
      <c r="V53" s="37">
        <f t="shared" si="15"/>
        <v>4.1194000197256594E-2</v>
      </c>
      <c r="X53" s="36">
        <f t="shared" si="19"/>
        <v>0.23259305415111897</v>
      </c>
      <c r="Z53" s="6">
        <f t="shared" si="34"/>
        <v>2.7378705434837558</v>
      </c>
      <c r="AA53" s="6">
        <f t="shared" si="34"/>
        <v>0.27378705434837558</v>
      </c>
      <c r="AB53" s="6">
        <f t="shared" si="2"/>
        <v>2.3259305415111897</v>
      </c>
      <c r="AC53" s="6">
        <f t="shared" si="3"/>
        <v>0.23259305415111897</v>
      </c>
      <c r="AG53" s="6">
        <f t="shared" si="29"/>
        <v>-11.629652707555948</v>
      </c>
      <c r="AH53" s="6">
        <f t="shared" si="20"/>
        <v>-4119.4000197256591</v>
      </c>
      <c r="AI53" s="6">
        <f t="shared" si="23"/>
        <v>-4131.0296724332147</v>
      </c>
      <c r="AJ53" s="6">
        <f t="shared" si="21"/>
        <v>0.44141521383139204</v>
      </c>
      <c r="AK53" s="6">
        <f t="shared" si="30"/>
        <v>8.9446230655614301E-2</v>
      </c>
      <c r="AL53" s="6">
        <f t="shared" si="31"/>
        <v>-4130.4988109887272</v>
      </c>
      <c r="AM53" s="6">
        <f t="shared" si="32"/>
        <v>4.1194000197256608E-2</v>
      </c>
      <c r="AN53" s="6">
        <f t="shared" si="33"/>
        <v>-4130.4576169885304</v>
      </c>
    </row>
    <row r="54" spans="9:40" x14ac:dyDescent="0.15">
      <c r="I54" s="14">
        <f t="shared" si="11"/>
        <v>95</v>
      </c>
      <c r="J54" s="3">
        <f t="shared" si="12"/>
        <v>50</v>
      </c>
      <c r="M54" s="26">
        <v>50</v>
      </c>
      <c r="N54" s="13">
        <f t="shared" si="13"/>
        <v>100000</v>
      </c>
      <c r="O54" s="30">
        <v>0.1</v>
      </c>
      <c r="P54" s="39">
        <f t="shared" si="27"/>
        <v>10</v>
      </c>
      <c r="Q54" s="39">
        <f t="shared" si="28"/>
        <v>1</v>
      </c>
      <c r="S54" s="43">
        <f>IFERROR(VLOOKUP(I54,'Mortality Table Latest'!$A$3:$E$123,4,FALSE)*1000,1)</f>
        <v>162.41</v>
      </c>
      <c r="U54" s="37">
        <f t="shared" si="14"/>
        <v>0.23259305415111897</v>
      </c>
      <c r="V54" s="37">
        <f t="shared" si="15"/>
        <v>3.7775437924683235E-2</v>
      </c>
      <c r="X54" s="36">
        <f t="shared" si="19"/>
        <v>0.19481761622643573</v>
      </c>
      <c r="Z54" s="6">
        <f t="shared" si="34"/>
        <v>2.3259305415111897</v>
      </c>
      <c r="AA54" s="6">
        <f t="shared" si="34"/>
        <v>0.23259305415111897</v>
      </c>
      <c r="AB54" s="6">
        <f t="shared" si="2"/>
        <v>1.9481761622643572</v>
      </c>
      <c r="AC54" s="6">
        <f t="shared" si="3"/>
        <v>0.19481761622643573</v>
      </c>
      <c r="AG54" s="6">
        <f t="shared" si="29"/>
        <v>-9.7408808113217873</v>
      </c>
      <c r="AH54" s="6">
        <f t="shared" si="20"/>
        <v>-3777.5437924683233</v>
      </c>
      <c r="AI54" s="6">
        <f t="shared" si="23"/>
        <v>-3787.2846732796452</v>
      </c>
      <c r="AJ54" s="6">
        <f t="shared" si="21"/>
        <v>0.41194000197256608</v>
      </c>
      <c r="AK54" s="6">
        <f t="shared" si="30"/>
        <v>7.5988150791170578E-2</v>
      </c>
      <c r="AL54" s="6">
        <f t="shared" si="31"/>
        <v>-3786.7967451268814</v>
      </c>
      <c r="AM54" s="6">
        <f t="shared" si="32"/>
        <v>3.7775437924683242E-2</v>
      </c>
      <c r="AN54" s="6">
        <f t="shared" si="33"/>
        <v>-3786.7589696889568</v>
      </c>
    </row>
    <row r="55" spans="9:40" x14ac:dyDescent="0.15">
      <c r="I55" s="14">
        <f t="shared" si="11"/>
        <v>96</v>
      </c>
      <c r="J55" s="3">
        <f t="shared" si="12"/>
        <v>51</v>
      </c>
      <c r="M55" s="26">
        <v>50</v>
      </c>
      <c r="N55" s="13">
        <f t="shared" si="13"/>
        <v>100000</v>
      </c>
      <c r="O55" s="30">
        <v>0.1</v>
      </c>
      <c r="P55" s="39">
        <f t="shared" si="27"/>
        <v>10</v>
      </c>
      <c r="Q55" s="39">
        <f t="shared" si="28"/>
        <v>1</v>
      </c>
      <c r="S55" s="43">
        <f>IFERROR(VLOOKUP(I55,'Mortality Table Latest'!$A$3:$E$123,4,FALSE)*1000,1)</f>
        <v>175.066</v>
      </c>
      <c r="U55" s="37">
        <f t="shared" si="14"/>
        <v>0.19481761622643573</v>
      </c>
      <c r="V55" s="37">
        <f t="shared" si="15"/>
        <v>3.4105940802297195E-2</v>
      </c>
      <c r="X55" s="36">
        <f t="shared" si="19"/>
        <v>0.16071167542413853</v>
      </c>
      <c r="Z55" s="6">
        <f t="shared" si="34"/>
        <v>1.9481761622643572</v>
      </c>
      <c r="AA55" s="6">
        <f t="shared" si="34"/>
        <v>0.19481761622643573</v>
      </c>
      <c r="AB55" s="6">
        <f t="shared" si="2"/>
        <v>1.6071167542413853</v>
      </c>
      <c r="AC55" s="6">
        <f t="shared" si="3"/>
        <v>0.16071167542413853</v>
      </c>
      <c r="AG55" s="6">
        <f t="shared" si="29"/>
        <v>-8.0355837712069267</v>
      </c>
      <c r="AH55" s="6">
        <f t="shared" si="20"/>
        <v>-3410.5940802297196</v>
      </c>
      <c r="AI55" s="6">
        <f t="shared" si="23"/>
        <v>-3418.6296640009264</v>
      </c>
      <c r="AJ55" s="6">
        <f t="shared" si="21"/>
        <v>0.37775437924683214</v>
      </c>
      <c r="AK55" s="6">
        <f t="shared" si="30"/>
        <v>6.3646915221176548E-2</v>
      </c>
      <c r="AL55" s="6">
        <f t="shared" si="31"/>
        <v>-3418.1882627064583</v>
      </c>
      <c r="AM55" s="6">
        <f t="shared" si="32"/>
        <v>3.4105940802297202E-2</v>
      </c>
      <c r="AN55" s="6">
        <f t="shared" si="33"/>
        <v>-3418.1541567656559</v>
      </c>
    </row>
    <row r="56" spans="9:40" x14ac:dyDescent="0.15">
      <c r="I56" s="14">
        <f t="shared" si="11"/>
        <v>97</v>
      </c>
      <c r="J56" s="3">
        <f t="shared" si="12"/>
        <v>52</v>
      </c>
      <c r="M56" s="26">
        <v>50</v>
      </c>
      <c r="N56" s="13">
        <f t="shared" si="13"/>
        <v>100000</v>
      </c>
      <c r="O56" s="30">
        <v>0.1</v>
      </c>
      <c r="P56" s="39">
        <f t="shared" si="27"/>
        <v>10</v>
      </c>
      <c r="Q56" s="39">
        <f t="shared" si="28"/>
        <v>1</v>
      </c>
      <c r="S56" s="43">
        <f>IFERROR(VLOOKUP(I56,'Mortality Table Latest'!$A$3:$E$123,4,FALSE)*1000,1)</f>
        <v>188.465</v>
      </c>
      <c r="U56" s="37">
        <f t="shared" si="14"/>
        <v>0.16071167542413853</v>
      </c>
      <c r="V56" s="37">
        <f t="shared" si="15"/>
        <v>3.0288525908810267E-2</v>
      </c>
      <c r="X56" s="36">
        <f t="shared" si="19"/>
        <v>0.13042314951532827</v>
      </c>
      <c r="Z56" s="6">
        <f t="shared" si="34"/>
        <v>1.6071167542413853</v>
      </c>
      <c r="AA56" s="6">
        <f t="shared" si="34"/>
        <v>0.16071167542413853</v>
      </c>
      <c r="AB56" s="6">
        <f t="shared" si="2"/>
        <v>1.3042314951532827</v>
      </c>
      <c r="AC56" s="6">
        <f t="shared" si="3"/>
        <v>0.13042314951532827</v>
      </c>
      <c r="AG56" s="6">
        <f t="shared" si="29"/>
        <v>-6.5211574757664135</v>
      </c>
      <c r="AH56" s="6">
        <f t="shared" si="20"/>
        <v>-3028.8525908810266</v>
      </c>
      <c r="AI56" s="6">
        <f t="shared" si="23"/>
        <v>-3035.3737483567929</v>
      </c>
      <c r="AJ56" s="6">
        <f t="shared" si="21"/>
        <v>0.34105940802297213</v>
      </c>
      <c r="AK56" s="6">
        <f t="shared" si="30"/>
        <v>5.2504504361066059E-2</v>
      </c>
      <c r="AL56" s="6">
        <f t="shared" si="31"/>
        <v>-3034.9801844444091</v>
      </c>
      <c r="AM56" s="6">
        <f t="shared" si="32"/>
        <v>3.028852590881026E-2</v>
      </c>
      <c r="AN56" s="6">
        <f t="shared" si="33"/>
        <v>-3034.9498959185003</v>
      </c>
    </row>
    <row r="57" spans="9:40" x14ac:dyDescent="0.15">
      <c r="I57" s="14">
        <f t="shared" si="11"/>
        <v>98</v>
      </c>
      <c r="J57" s="3">
        <f t="shared" si="12"/>
        <v>53</v>
      </c>
      <c r="M57" s="26">
        <v>50</v>
      </c>
      <c r="N57" s="13">
        <f t="shared" si="13"/>
        <v>100000</v>
      </c>
      <c r="O57" s="30">
        <v>0.1</v>
      </c>
      <c r="P57" s="39">
        <f t="shared" si="27"/>
        <v>10</v>
      </c>
      <c r="Q57" s="39">
        <f t="shared" si="28"/>
        <v>1</v>
      </c>
      <c r="S57" s="43">
        <f>IFERROR(VLOOKUP(I57,'Mortality Table Latest'!$A$3:$E$123,4,FALSE)*1000,1)</f>
        <v>202.11100000000002</v>
      </c>
      <c r="U57" s="37">
        <f t="shared" si="14"/>
        <v>0.13042314951532827</v>
      </c>
      <c r="V57" s="37">
        <f t="shared" si="15"/>
        <v>2.6359953171692513E-2</v>
      </c>
      <c r="X57" s="36">
        <f t="shared" si="19"/>
        <v>0.10406319634363576</v>
      </c>
      <c r="Z57" s="6">
        <f t="shared" si="34"/>
        <v>1.3042314951532827</v>
      </c>
      <c r="AA57" s="6">
        <f t="shared" si="34"/>
        <v>0.13042314951532827</v>
      </c>
      <c r="AB57" s="6">
        <f t="shared" si="2"/>
        <v>1.0406319634363577</v>
      </c>
      <c r="AC57" s="6">
        <f t="shared" si="3"/>
        <v>0.10406319634363576</v>
      </c>
      <c r="AG57" s="6">
        <f>-$X57*M57</f>
        <v>-5.2031598171817874</v>
      </c>
      <c r="AH57" s="6">
        <f t="shared" si="20"/>
        <v>-2635.9953171692514</v>
      </c>
      <c r="AI57" s="6">
        <f t="shared" si="23"/>
        <v>-2641.198476986433</v>
      </c>
      <c r="AJ57" s="6">
        <f t="shared" si="21"/>
        <v>0.30288525908810265</v>
      </c>
      <c r="AK57" s="6">
        <f t="shared" si="30"/>
        <v>4.2609242946657751E-2</v>
      </c>
      <c r="AL57" s="6">
        <f t="shared" si="31"/>
        <v>-2640.8529824843981</v>
      </c>
      <c r="AM57" s="6">
        <f t="shared" si="32"/>
        <v>2.6359953171692513E-2</v>
      </c>
      <c r="AN57" s="6">
        <f t="shared" si="33"/>
        <v>-2640.8266225312263</v>
      </c>
    </row>
    <row r="58" spans="9:40" x14ac:dyDescent="0.15">
      <c r="I58" s="14">
        <f t="shared" si="11"/>
        <v>99</v>
      </c>
      <c r="J58" s="3">
        <f t="shared" si="12"/>
        <v>54</v>
      </c>
      <c r="M58" s="26">
        <v>50</v>
      </c>
      <c r="N58" s="13">
        <f t="shared" si="13"/>
        <v>100000</v>
      </c>
      <c r="O58" s="30">
        <v>0.1</v>
      </c>
      <c r="P58" s="39">
        <f t="shared" si="27"/>
        <v>10</v>
      </c>
      <c r="Q58" s="39">
        <f t="shared" si="28"/>
        <v>1</v>
      </c>
      <c r="S58" s="43">
        <f>IFERROR(VLOOKUP(I58,'Mortality Table Latest'!$A$3:$E$123,4,FALSE)*1000,1)</f>
        <v>216.37100000000001</v>
      </c>
      <c r="U58" s="37">
        <f t="shared" si="14"/>
        <v>0.10406319634363576</v>
      </c>
      <c r="V58" s="37">
        <f t="shared" si="15"/>
        <v>2.2516257856068811E-2</v>
      </c>
      <c r="X58" s="36">
        <f t="shared" si="19"/>
        <v>8.1546938487566945E-2</v>
      </c>
      <c r="Z58" s="6">
        <f t="shared" si="34"/>
        <v>1.0406319634363577</v>
      </c>
      <c r="AA58" s="6">
        <f t="shared" si="34"/>
        <v>0.10406319634363576</v>
      </c>
      <c r="AB58" s="6">
        <f t="shared" si="2"/>
        <v>0.81546938487566945</v>
      </c>
      <c r="AC58" s="6">
        <f t="shared" si="3"/>
        <v>8.1546938487566945E-2</v>
      </c>
      <c r="AG58" s="6">
        <f t="shared" si="29"/>
        <v>-4.0773469243783476</v>
      </c>
      <c r="AH58" s="6">
        <f t="shared" si="20"/>
        <v>-2251.625785606881</v>
      </c>
      <c r="AI58" s="6">
        <f t="shared" si="23"/>
        <v>-2255.7031325312591</v>
      </c>
      <c r="AJ58" s="6">
        <f t="shared" si="21"/>
        <v>0.26359953171692513</v>
      </c>
      <c r="AK58" s="6">
        <f t="shared" si="30"/>
        <v>3.3997446245465808E-2</v>
      </c>
      <c r="AL58" s="6">
        <f t="shared" si="31"/>
        <v>-2255.4055355532969</v>
      </c>
      <c r="AM58" s="6">
        <f t="shared" si="32"/>
        <v>2.2516257856068811E-2</v>
      </c>
      <c r="AN58" s="6">
        <f t="shared" si="33"/>
        <v>-2255.3830192954406</v>
      </c>
    </row>
    <row r="59" spans="9:40" x14ac:dyDescent="0.15">
      <c r="I59" s="14">
        <f t="shared" si="11"/>
        <v>100</v>
      </c>
      <c r="J59" s="3">
        <f t="shared" si="12"/>
        <v>55</v>
      </c>
      <c r="M59" s="26">
        <v>50</v>
      </c>
      <c r="N59" s="13">
        <f t="shared" si="13"/>
        <v>100000</v>
      </c>
      <c r="O59" s="30">
        <v>0.1</v>
      </c>
      <c r="P59" s="39">
        <f t="shared" si="27"/>
        <v>10</v>
      </c>
      <c r="Q59" s="39">
        <f t="shared" si="28"/>
        <v>1</v>
      </c>
      <c r="S59" s="43">
        <f>IFERROR(VLOOKUP(I59,'Mortality Table Latest'!$A$3:$E$123,4,FALSE)*1000,1)</f>
        <v>230.72799999999998</v>
      </c>
      <c r="U59" s="37">
        <f t="shared" si="14"/>
        <v>8.1546938487566945E-2</v>
      </c>
      <c r="V59" s="37">
        <f t="shared" si="15"/>
        <v>1.8815162023359346E-2</v>
      </c>
      <c r="X59" s="36">
        <f t="shared" si="19"/>
        <v>6.2731776464207606E-2</v>
      </c>
      <c r="Z59" s="6">
        <f t="shared" si="34"/>
        <v>0.81546938487566945</v>
      </c>
      <c r="AA59" s="6">
        <f t="shared" si="34"/>
        <v>8.1546938487566945E-2</v>
      </c>
      <c r="AB59" s="6">
        <f t="shared" si="2"/>
        <v>0.627317764642076</v>
      </c>
      <c r="AC59" s="6">
        <f t="shared" si="3"/>
        <v>6.2731776464207606E-2</v>
      </c>
      <c r="AG59" s="6">
        <f t="shared" si="29"/>
        <v>-3.1365888232103805</v>
      </c>
      <c r="AH59" s="6">
        <f t="shared" si="20"/>
        <v>-1881.5162023359346</v>
      </c>
      <c r="AI59" s="6">
        <f t="shared" si="23"/>
        <v>-1884.652791159145</v>
      </c>
      <c r="AJ59" s="6">
        <f t="shared" si="21"/>
        <v>0.22516257856068819</v>
      </c>
      <c r="AK59" s="6">
        <f t="shared" si="30"/>
        <v>2.6641384803888123E-2</v>
      </c>
      <c r="AL59" s="6">
        <f t="shared" si="31"/>
        <v>-1884.4009871957803</v>
      </c>
      <c r="AM59" s="6">
        <f t="shared" si="32"/>
        <v>1.8815162023359339E-2</v>
      </c>
      <c r="AN59" s="6">
        <f t="shared" si="33"/>
        <v>-1884.3821720337569</v>
      </c>
    </row>
    <row r="60" spans="9:40" x14ac:dyDescent="0.15">
      <c r="I60" s="14">
        <f t="shared" si="11"/>
        <v>101</v>
      </c>
      <c r="J60" s="3">
        <f t="shared" si="12"/>
        <v>56</v>
      </c>
      <c r="M60" s="26">
        <v>50</v>
      </c>
      <c r="N60" s="13">
        <f t="shared" si="13"/>
        <v>100000</v>
      </c>
      <c r="O60" s="30">
        <v>0.1</v>
      </c>
      <c r="P60" s="39">
        <f t="shared" si="27"/>
        <v>10</v>
      </c>
      <c r="Q60" s="39">
        <f t="shared" si="28"/>
        <v>1</v>
      </c>
      <c r="S60" s="43">
        <f>IFERROR(VLOOKUP(I60,'Mortality Table Latest'!$A$3:$E$123,4,FALSE)*1000,1)</f>
        <v>244.85000000000002</v>
      </c>
      <c r="U60" s="37">
        <f t="shared" si="14"/>
        <v>6.2731776464207606E-2</v>
      </c>
      <c r="V60" s="37">
        <f t="shared" si="15"/>
        <v>1.5359875467261233E-2</v>
      </c>
      <c r="X60" s="36">
        <f t="shared" si="19"/>
        <v>4.7371900996946374E-2</v>
      </c>
      <c r="Z60" s="6">
        <f t="shared" si="34"/>
        <v>0.627317764642076</v>
      </c>
      <c r="AA60" s="6">
        <f t="shared" si="34"/>
        <v>6.2731776464207606E-2</v>
      </c>
      <c r="AB60" s="6">
        <f t="shared" si="2"/>
        <v>0.47371900996946376</v>
      </c>
      <c r="AC60" s="6">
        <f t="shared" si="3"/>
        <v>4.7371900996946374E-2</v>
      </c>
      <c r="AG60" s="6">
        <f t="shared" si="29"/>
        <v>-2.3685950498473187</v>
      </c>
      <c r="AH60" s="6">
        <f t="shared" si="20"/>
        <v>-1535.9875467261234</v>
      </c>
      <c r="AI60" s="6">
        <f t="shared" si="23"/>
        <v>-1538.3561417759706</v>
      </c>
      <c r="AJ60" s="6">
        <f t="shared" si="21"/>
        <v>0.18815162023359333</v>
      </c>
      <c r="AK60" s="6">
        <f t="shared" si="30"/>
        <v>2.0494471370856623E-2</v>
      </c>
      <c r="AL60" s="6">
        <f t="shared" si="31"/>
        <v>-1538.147495684366</v>
      </c>
      <c r="AM60" s="6">
        <f t="shared" si="32"/>
        <v>1.5359875467261232E-2</v>
      </c>
      <c r="AN60" s="6">
        <f t="shared" si="33"/>
        <v>-1538.1321358088987</v>
      </c>
    </row>
    <row r="61" spans="9:40" x14ac:dyDescent="0.15">
      <c r="I61" s="14">
        <f t="shared" si="11"/>
        <v>102</v>
      </c>
      <c r="J61" s="3">
        <f t="shared" si="12"/>
        <v>57</v>
      </c>
      <c r="M61" s="26">
        <v>50</v>
      </c>
      <c r="N61" s="13">
        <f t="shared" si="13"/>
        <v>100000</v>
      </c>
      <c r="O61" s="30">
        <v>0.1</v>
      </c>
      <c r="P61" s="39">
        <f t="shared" si="27"/>
        <v>10</v>
      </c>
      <c r="Q61" s="39">
        <f t="shared" si="28"/>
        <v>1</v>
      </c>
      <c r="S61" s="43">
        <f>IFERROR(VLOOKUP(I61,'Mortality Table Latest'!$A$3:$E$123,4,FALSE)*1000,1)</f>
        <v>259.30900000000003</v>
      </c>
      <c r="U61" s="37">
        <f t="shared" si="14"/>
        <v>4.7371900996946374E-2</v>
      </c>
      <c r="V61" s="37">
        <f t="shared" si="15"/>
        <v>1.2283960275617168E-2</v>
      </c>
      <c r="X61" s="36">
        <f t="shared" si="19"/>
        <v>3.5087940721329203E-2</v>
      </c>
      <c r="Z61" s="6">
        <f t="shared" si="34"/>
        <v>0.47371900996946376</v>
      </c>
      <c r="AA61" s="6">
        <f t="shared" si="34"/>
        <v>4.7371900996946374E-2</v>
      </c>
      <c r="AB61" s="6">
        <f t="shared" si="2"/>
        <v>0.35087940721329203</v>
      </c>
      <c r="AC61" s="6">
        <f t="shared" si="3"/>
        <v>3.5087940721329203E-2</v>
      </c>
      <c r="AG61" s="6">
        <f>IFERROR(-$X61*M61,0)</f>
        <v>-1.75439703606646</v>
      </c>
      <c r="AH61" s="6">
        <f t="shared" si="20"/>
        <v>-1228.3960275617169</v>
      </c>
      <c r="AI61" s="6">
        <f t="shared" si="23"/>
        <v>-1230.1504245977833</v>
      </c>
      <c r="AJ61" s="6">
        <f t="shared" si="21"/>
        <v>0.15359875467261236</v>
      </c>
      <c r="AK61" s="6">
        <f t="shared" si="30"/>
        <v>1.5476400055702381E-2</v>
      </c>
      <c r="AL61" s="6">
        <f t="shared" si="31"/>
        <v>-1229.981349443055</v>
      </c>
      <c r="AM61" s="6">
        <f t="shared" si="32"/>
        <v>1.2283960275617171E-2</v>
      </c>
      <c r="AN61" s="6">
        <f t="shared" si="33"/>
        <v>-1229.9690654827793</v>
      </c>
    </row>
    <row r="62" spans="9:40" x14ac:dyDescent="0.15">
      <c r="I62" s="14">
        <f t="shared" si="11"/>
        <v>103</v>
      </c>
      <c r="J62" s="3">
        <f t="shared" si="12"/>
        <v>58</v>
      </c>
      <c r="M62" s="26">
        <v>50</v>
      </c>
      <c r="N62" s="13">
        <f t="shared" si="13"/>
        <v>100000</v>
      </c>
      <c r="O62" s="30">
        <v>0.1</v>
      </c>
      <c r="P62" s="39">
        <f t="shared" si="27"/>
        <v>10</v>
      </c>
      <c r="Q62" s="39">
        <f t="shared" si="28"/>
        <v>1</v>
      </c>
      <c r="S62" s="43">
        <f>IFERROR(VLOOKUP(I62,'Mortality Table Latest'!$A$3:$E$123,4,FALSE)*1000,1)</f>
        <v>274.02199999999999</v>
      </c>
      <c r="U62" s="37">
        <f t="shared" si="14"/>
        <v>3.5087940721329203E-2</v>
      </c>
      <c r="V62" s="37">
        <f t="shared" si="15"/>
        <v>9.6148676923400699E-3</v>
      </c>
      <c r="X62" s="36">
        <f t="shared" si="19"/>
        <v>2.5473073028989133E-2</v>
      </c>
      <c r="Z62" s="6">
        <f t="shared" si="34"/>
        <v>0.35087940721329203</v>
      </c>
      <c r="AA62" s="6">
        <f t="shared" si="34"/>
        <v>3.5087940721329203E-2</v>
      </c>
      <c r="AB62" s="6">
        <f t="shared" si="2"/>
        <v>0.25473073028989135</v>
      </c>
      <c r="AC62" s="6">
        <f t="shared" si="3"/>
        <v>2.5473073028989133E-2</v>
      </c>
      <c r="AG62" s="6">
        <f t="shared" ref="AG62:AG64" si="35">IFERROR(-$X62*M62,0)</f>
        <v>-1.2736536514494567</v>
      </c>
      <c r="AH62" s="6">
        <f t="shared" si="20"/>
        <v>-961.48676923400694</v>
      </c>
      <c r="AI62" s="6">
        <f t="shared" si="23"/>
        <v>-962.76042288545636</v>
      </c>
      <c r="AJ62" s="6">
        <f t="shared" si="21"/>
        <v>0.12283960275617173</v>
      </c>
      <c r="AK62" s="6">
        <f t="shared" si="30"/>
        <v>1.146323023365825E-2</v>
      </c>
      <c r="AL62" s="6">
        <f t="shared" si="31"/>
        <v>-962.6261200524666</v>
      </c>
      <c r="AM62" s="6">
        <f t="shared" si="32"/>
        <v>9.6148676923400699E-3</v>
      </c>
      <c r="AN62" s="6">
        <f t="shared" si="33"/>
        <v>-962.61650518477427</v>
      </c>
    </row>
    <row r="63" spans="9:40" x14ac:dyDescent="0.15">
      <c r="I63" s="14">
        <f t="shared" si="11"/>
        <v>104</v>
      </c>
      <c r="J63" s="3">
        <f t="shared" si="12"/>
        <v>59</v>
      </c>
      <c r="M63" s="26">
        <v>50</v>
      </c>
      <c r="N63" s="13">
        <f t="shared" si="13"/>
        <v>100000</v>
      </c>
      <c r="O63" s="30">
        <v>0.1</v>
      </c>
      <c r="P63" s="39">
        <f t="shared" si="27"/>
        <v>10</v>
      </c>
      <c r="Q63" s="39">
        <f t="shared" si="28"/>
        <v>1</v>
      </c>
      <c r="S63" s="43">
        <f>IFERROR(VLOOKUP(I63,'Mortality Table Latest'!$A$3:$E$123,4,FALSE)*1000,1)</f>
        <v>288.892</v>
      </c>
      <c r="U63" s="37">
        <f t="shared" si="14"/>
        <v>2.5473073028989133E-2</v>
      </c>
      <c r="V63" s="37">
        <f t="shared" si="15"/>
        <v>7.3589670134907286E-3</v>
      </c>
      <c r="X63" s="36">
        <f t="shared" si="19"/>
        <v>1.8114106015498406E-2</v>
      </c>
      <c r="Z63" s="6">
        <f t="shared" si="34"/>
        <v>0.25473073028989135</v>
      </c>
      <c r="AA63" s="6">
        <f t="shared" si="34"/>
        <v>2.5473073028989133E-2</v>
      </c>
      <c r="AB63" s="6">
        <f t="shared" si="2"/>
        <v>0.18114106015498405</v>
      </c>
      <c r="AC63" s="6">
        <f t="shared" si="3"/>
        <v>1.8114106015498406E-2</v>
      </c>
      <c r="AG63" s="6">
        <f t="shared" si="35"/>
        <v>-0.90570530077492029</v>
      </c>
      <c r="AH63" s="6">
        <f t="shared" si="20"/>
        <v>-735.89670134907283</v>
      </c>
      <c r="AI63" s="6">
        <f t="shared" si="23"/>
        <v>-736.80240664984774</v>
      </c>
      <c r="AJ63" s="6">
        <f t="shared" si="21"/>
        <v>9.6148676923400692E-2</v>
      </c>
      <c r="AK63" s="6">
        <f t="shared" si="30"/>
        <v>8.3220529585707505E-3</v>
      </c>
      <c r="AL63" s="6">
        <f t="shared" si="31"/>
        <v>-736.69793591996586</v>
      </c>
      <c r="AM63" s="6">
        <f t="shared" si="32"/>
        <v>7.3589670134907269E-3</v>
      </c>
      <c r="AN63" s="6">
        <f t="shared" si="33"/>
        <v>-736.69057695295237</v>
      </c>
    </row>
    <row r="64" spans="9:40" x14ac:dyDescent="0.15">
      <c r="I64" s="14">
        <f t="shared" si="11"/>
        <v>105</v>
      </c>
      <c r="J64" s="3">
        <f t="shared" si="12"/>
        <v>60</v>
      </c>
      <c r="M64" s="26">
        <v>50</v>
      </c>
      <c r="N64" s="13">
        <f t="shared" si="13"/>
        <v>100000</v>
      </c>
      <c r="O64" s="30">
        <v>0.1</v>
      </c>
      <c r="P64" s="39">
        <f t="shared" si="27"/>
        <v>10</v>
      </c>
      <c r="Q64" s="39">
        <f t="shared" si="28"/>
        <v>1</v>
      </c>
      <c r="S64" s="43">
        <f>IFERROR(VLOOKUP(I64,'Mortality Table Latest'!$A$3:$E$123,4,FALSE)*1000,1)</f>
        <v>303.827</v>
      </c>
      <c r="U64" s="37">
        <f t="shared" si="14"/>
        <v>1.8114106015498406E-2</v>
      </c>
      <c r="V64" s="37">
        <f t="shared" si="15"/>
        <v>5.5035544883708341E-3</v>
      </c>
      <c r="X64" s="36">
        <f t="shared" si="19"/>
        <v>1.2610551527127572E-2</v>
      </c>
      <c r="Z64" s="6">
        <f t="shared" si="34"/>
        <v>0.18114106015498405</v>
      </c>
      <c r="AA64" s="6">
        <f t="shared" si="34"/>
        <v>1.8114106015498406E-2</v>
      </c>
      <c r="AB64" s="6">
        <f t="shared" si="2"/>
        <v>0.12610551527127573</v>
      </c>
      <c r="AC64" s="6">
        <f t="shared" si="3"/>
        <v>1.2610551527127572E-2</v>
      </c>
      <c r="AG64" s="6">
        <f t="shared" si="35"/>
        <v>-0.63052757635637857</v>
      </c>
      <c r="AH64" s="6">
        <f t="shared" si="20"/>
        <v>-550.35544883708337</v>
      </c>
      <c r="AI64" s="6">
        <f t="shared" si="23"/>
        <v>-550.98597641343974</v>
      </c>
      <c r="AJ64" s="6">
        <f t="shared" si="21"/>
        <v>7.3589670134907276E-2</v>
      </c>
      <c r="AK64" s="6">
        <f t="shared" si="30"/>
        <v>5.9178784352633285E-3</v>
      </c>
      <c r="AL64" s="6">
        <f t="shared" si="31"/>
        <v>-550.90646886486957</v>
      </c>
      <c r="AM64" s="6">
        <f t="shared" si="32"/>
        <v>5.5035544883708341E-3</v>
      </c>
      <c r="AN64" s="6">
        <f t="shared" si="33"/>
        <v>-550.90096531038125</v>
      </c>
    </row>
    <row r="65" spans="9:40" x14ac:dyDescent="0.15">
      <c r="I65" s="14"/>
      <c r="J65" s="3"/>
      <c r="M65" s="26"/>
      <c r="N65" s="13"/>
      <c r="O65" s="30"/>
      <c r="P65" s="39"/>
      <c r="Q65" s="39"/>
      <c r="S65" s="43"/>
      <c r="U65" s="37"/>
      <c r="V65" s="37"/>
      <c r="X65" s="36"/>
      <c r="Z65" s="6"/>
      <c r="AA65" s="6"/>
      <c r="AB65" s="6"/>
      <c r="AC65" s="6"/>
      <c r="AG65" s="6"/>
      <c r="AH65" s="6"/>
      <c r="AI65" s="6"/>
      <c r="AJ65" s="6"/>
      <c r="AK65" s="6"/>
      <c r="AL65" s="6"/>
      <c r="AM65" s="6"/>
      <c r="AN65" s="6"/>
    </row>
    <row r="66" spans="9:40" x14ac:dyDescent="0.15">
      <c r="I66" s="14"/>
      <c r="J66" s="3"/>
      <c r="M66" s="26"/>
      <c r="N66" s="13"/>
      <c r="O66" s="30"/>
      <c r="P66" s="39"/>
      <c r="Q66" s="39"/>
      <c r="S66" s="43"/>
      <c r="U66" s="37"/>
      <c r="V66" s="37"/>
      <c r="X66" s="36"/>
      <c r="Z66" s="6"/>
      <c r="AA66" s="6"/>
      <c r="AB66" s="6"/>
      <c r="AC66" s="6"/>
      <c r="AG66" s="6"/>
      <c r="AH66" s="6"/>
      <c r="AI66" s="6"/>
      <c r="AJ66" s="6"/>
      <c r="AK66" s="6"/>
      <c r="AL66" s="6"/>
      <c r="AM66" s="6"/>
      <c r="AN66" s="6"/>
    </row>
    <row r="67" spans="9:40" x14ac:dyDescent="0.15">
      <c r="I67" s="14"/>
      <c r="J67" s="3"/>
      <c r="M67" s="26"/>
      <c r="N67" s="13"/>
      <c r="O67" s="30"/>
      <c r="P67" s="39"/>
      <c r="Q67" s="39"/>
      <c r="S67" s="43"/>
      <c r="U67" s="37"/>
      <c r="V67" s="37"/>
      <c r="X67" s="36"/>
      <c r="Z67" s="6"/>
      <c r="AA67" s="6"/>
      <c r="AB67" s="6"/>
      <c r="AC67" s="6"/>
      <c r="AG67" s="6"/>
      <c r="AH67" s="6"/>
      <c r="AI67" s="6"/>
      <c r="AJ67" s="6"/>
      <c r="AK67" s="6"/>
      <c r="AL67" s="6"/>
      <c r="AM67" s="6"/>
      <c r="AN67" s="6"/>
    </row>
    <row r="68" spans="9:40" x14ac:dyDescent="0.15">
      <c r="I68" s="14"/>
      <c r="J68" s="3"/>
      <c r="M68" s="26"/>
      <c r="N68" s="13"/>
      <c r="O68" s="30"/>
      <c r="P68" s="39"/>
      <c r="Q68" s="39"/>
      <c r="S68" s="43"/>
      <c r="U68" s="37"/>
      <c r="V68" s="37"/>
      <c r="X68" s="36"/>
      <c r="Z68" s="6"/>
      <c r="AA68" s="6"/>
      <c r="AB68" s="6"/>
      <c r="AC68" s="6"/>
      <c r="AG68" s="6"/>
      <c r="AH68" s="6"/>
      <c r="AI68" s="6"/>
      <c r="AJ68" s="6"/>
      <c r="AK68" s="6"/>
      <c r="AL68" s="6"/>
      <c r="AM68" s="6"/>
      <c r="AN68" s="6"/>
    </row>
    <row r="69" spans="9:40" x14ac:dyDescent="0.15">
      <c r="I69" s="14"/>
      <c r="J69" s="3"/>
      <c r="M69" s="26"/>
      <c r="N69" s="13"/>
      <c r="O69" s="30"/>
      <c r="P69" s="39"/>
      <c r="Q69" s="39"/>
      <c r="S69" s="43"/>
      <c r="U69" s="37"/>
      <c r="V69" s="37"/>
      <c r="X69" s="36"/>
      <c r="Z69" s="6"/>
      <c r="AA69" s="6"/>
      <c r="AB69" s="6"/>
      <c r="AC69" s="6"/>
      <c r="AG69" s="6"/>
      <c r="AH69" s="6"/>
      <c r="AI69" s="6"/>
      <c r="AJ69" s="6"/>
      <c r="AK69" s="6"/>
      <c r="AL69" s="6"/>
      <c r="AM69" s="6"/>
      <c r="AN69" s="6"/>
    </row>
    <row r="70" spans="9:40" x14ac:dyDescent="0.15">
      <c r="I70" s="14"/>
      <c r="J70" s="3"/>
      <c r="M70" s="26"/>
      <c r="N70" s="13"/>
      <c r="O70" s="30"/>
      <c r="P70" s="39"/>
      <c r="Q70" s="39"/>
      <c r="S70" s="43"/>
      <c r="U70" s="37"/>
      <c r="V70" s="37"/>
      <c r="X70" s="36"/>
      <c r="Z70" s="6"/>
      <c r="AA70" s="6"/>
      <c r="AB70" s="6"/>
      <c r="AC70" s="6"/>
      <c r="AG70" s="6"/>
      <c r="AH70" s="6"/>
      <c r="AI70" s="6"/>
      <c r="AJ70" s="6"/>
      <c r="AK70" s="6"/>
      <c r="AL70" s="6"/>
      <c r="AM70" s="6"/>
      <c r="AN70" s="6"/>
    </row>
    <row r="71" spans="9:40" x14ac:dyDescent="0.15">
      <c r="I71" s="14"/>
      <c r="J71" s="3"/>
      <c r="M71" s="26"/>
      <c r="N71" s="13"/>
      <c r="O71" s="30"/>
      <c r="P71" s="39"/>
      <c r="Q71" s="39"/>
      <c r="S71" s="43"/>
      <c r="U71" s="37"/>
      <c r="V71" s="37"/>
      <c r="X71" s="36"/>
      <c r="Z71" s="6"/>
      <c r="AA71" s="6"/>
      <c r="AB71" s="6"/>
      <c r="AC71" s="6"/>
      <c r="AG71" s="6"/>
      <c r="AH71" s="6"/>
      <c r="AI71" s="6"/>
      <c r="AJ71" s="6"/>
      <c r="AK71" s="6"/>
      <c r="AL71" s="6"/>
      <c r="AM71" s="6"/>
      <c r="AN71" s="6"/>
    </row>
    <row r="72" spans="9:40" x14ac:dyDescent="0.15">
      <c r="I72" s="14"/>
      <c r="J72" s="3"/>
      <c r="M72" s="26"/>
      <c r="N72" s="13"/>
      <c r="O72" s="30"/>
      <c r="P72" s="39"/>
      <c r="Q72" s="39"/>
      <c r="S72" s="43"/>
      <c r="U72" s="37"/>
      <c r="V72" s="37"/>
      <c r="X72" s="36"/>
      <c r="Z72" s="6"/>
      <c r="AA72" s="6"/>
      <c r="AB72" s="6"/>
      <c r="AC72" s="6"/>
      <c r="AG72" s="6"/>
      <c r="AH72" s="6"/>
      <c r="AI72" s="6"/>
      <c r="AJ72" s="6"/>
      <c r="AK72" s="6"/>
      <c r="AL72" s="6"/>
      <c r="AM72" s="6"/>
      <c r="AN72" s="6"/>
    </row>
    <row r="73" spans="9:40" x14ac:dyDescent="0.15">
      <c r="I73" s="14"/>
      <c r="J73" s="3"/>
      <c r="M73" s="26"/>
      <c r="N73" s="13"/>
      <c r="O73" s="30"/>
      <c r="P73" s="39"/>
      <c r="Q73" s="39"/>
      <c r="S73" s="43"/>
      <c r="U73" s="37"/>
      <c r="V73" s="37"/>
      <c r="X73" s="36"/>
      <c r="Z73" s="6"/>
      <c r="AA73" s="6"/>
      <c r="AB73" s="6"/>
      <c r="AC73" s="6"/>
      <c r="AG73" s="6"/>
      <c r="AH73" s="6"/>
      <c r="AI73" s="6"/>
      <c r="AJ73" s="6"/>
      <c r="AK73" s="6"/>
      <c r="AL73" s="6"/>
      <c r="AM73" s="6"/>
      <c r="AN73" s="6"/>
    </row>
    <row r="74" spans="9:40" x14ac:dyDescent="0.15">
      <c r="I74" s="14"/>
      <c r="J74" s="3"/>
      <c r="M74" s="26"/>
      <c r="N74" s="13"/>
      <c r="O74" s="30"/>
      <c r="P74" s="39"/>
      <c r="Q74" s="39"/>
      <c r="S74" s="43"/>
      <c r="U74" s="37"/>
      <c r="V74" s="37"/>
      <c r="X74" s="36"/>
      <c r="Z74" s="6"/>
      <c r="AA74" s="6"/>
      <c r="AB74" s="6"/>
      <c r="AC74" s="6"/>
      <c r="AG74" s="6"/>
      <c r="AH74" s="6"/>
      <c r="AI74" s="6"/>
      <c r="AJ74" s="6"/>
      <c r="AK74" s="6"/>
      <c r="AL74" s="6"/>
      <c r="AM74" s="6"/>
      <c r="AN74" s="6"/>
    </row>
    <row r="75" spans="9:40" x14ac:dyDescent="0.15">
      <c r="I75" s="14"/>
      <c r="J75" s="3"/>
      <c r="M75" s="26"/>
      <c r="N75" s="13"/>
      <c r="O75" s="30"/>
      <c r="P75" s="39"/>
      <c r="Q75" s="39"/>
      <c r="S75" s="43"/>
      <c r="U75" s="37"/>
      <c r="V75" s="37"/>
      <c r="X75" s="36"/>
      <c r="Z75" s="6"/>
      <c r="AA75" s="6"/>
      <c r="AB75" s="6"/>
      <c r="AC75" s="6"/>
      <c r="AG75" s="6"/>
      <c r="AH75" s="6"/>
      <c r="AI75" s="6"/>
      <c r="AJ75" s="6"/>
      <c r="AK75" s="6"/>
      <c r="AL75" s="6"/>
      <c r="AM75" s="6"/>
      <c r="AN75" s="6"/>
    </row>
    <row r="76" spans="9:40" x14ac:dyDescent="0.15">
      <c r="I76" s="14"/>
      <c r="J76" s="3"/>
      <c r="M76" s="26"/>
      <c r="N76" s="13"/>
      <c r="O76" s="30"/>
      <c r="P76" s="39"/>
      <c r="Q76" s="39"/>
      <c r="S76" s="43"/>
      <c r="U76" s="37"/>
      <c r="V76" s="37"/>
      <c r="X76" s="36"/>
      <c r="Z76" s="6"/>
      <c r="AA76" s="6"/>
      <c r="AB76" s="6"/>
      <c r="AC76" s="6"/>
      <c r="AG76" s="6"/>
      <c r="AH76" s="6"/>
      <c r="AI76" s="6"/>
      <c r="AJ76" s="6"/>
      <c r="AK76" s="6"/>
      <c r="AL76" s="6"/>
      <c r="AM76" s="6"/>
      <c r="AN76" s="6"/>
    </row>
    <row r="77" spans="9:40" x14ac:dyDescent="0.15">
      <c r="I77" s="14"/>
      <c r="J77" s="3"/>
      <c r="M77" s="26"/>
      <c r="N77" s="13"/>
      <c r="O77" s="30"/>
      <c r="P77" s="39"/>
      <c r="Q77" s="39"/>
      <c r="S77" s="43"/>
      <c r="U77" s="37"/>
      <c r="V77" s="37"/>
      <c r="X77" s="36"/>
      <c r="Z77" s="6"/>
      <c r="AA77" s="6"/>
      <c r="AB77" s="6"/>
      <c r="AC77" s="6"/>
      <c r="AG77" s="6"/>
      <c r="AH77" s="6"/>
      <c r="AI77" s="6"/>
      <c r="AJ77" s="6"/>
      <c r="AK77" s="6"/>
      <c r="AL77" s="6"/>
      <c r="AM77" s="6"/>
      <c r="AN77" s="6"/>
    </row>
    <row r="78" spans="9:40" x14ac:dyDescent="0.15">
      <c r="I78" s="14"/>
      <c r="J78" s="3"/>
      <c r="M78" s="26"/>
      <c r="N78" s="13"/>
      <c r="O78" s="30"/>
      <c r="P78" s="39"/>
      <c r="Q78" s="39"/>
      <c r="S78" s="43"/>
      <c r="U78" s="37"/>
      <c r="V78" s="37"/>
      <c r="X78" s="36"/>
      <c r="Z78" s="6"/>
      <c r="AA78" s="6"/>
      <c r="AB78" s="6"/>
      <c r="AC78" s="6"/>
      <c r="AG78" s="6"/>
      <c r="AH78" s="6"/>
      <c r="AI78" s="6"/>
      <c r="AJ78" s="6"/>
      <c r="AK78" s="6"/>
      <c r="AL78" s="6"/>
      <c r="AM78" s="6"/>
      <c r="AN78" s="6"/>
    </row>
    <row r="79" spans="9:40" x14ac:dyDescent="0.15">
      <c r="I79" s="14"/>
      <c r="J79" s="3"/>
      <c r="M79" s="26"/>
      <c r="N79" s="13"/>
      <c r="O79" s="30"/>
      <c r="P79" s="39"/>
      <c r="Q79" s="39"/>
      <c r="S79" s="43"/>
      <c r="U79" s="37"/>
      <c r="V79" s="37"/>
      <c r="X79" s="36"/>
      <c r="Z79" s="6"/>
      <c r="AA79" s="6"/>
      <c r="AB79" s="6"/>
      <c r="AC79" s="6"/>
      <c r="AG79" s="6"/>
      <c r="AH79" s="6"/>
      <c r="AI79" s="6"/>
      <c r="AJ79" s="6"/>
      <c r="AK79" s="6"/>
      <c r="AL79" s="6"/>
      <c r="AM79" s="6"/>
      <c r="AN79" s="6"/>
    </row>
    <row r="80" spans="9:40" x14ac:dyDescent="0.15">
      <c r="I80" s="14"/>
      <c r="J80" s="3"/>
      <c r="M80" s="26"/>
      <c r="N80" s="13"/>
      <c r="O80" s="30"/>
      <c r="P80" s="39"/>
      <c r="Q80" s="39"/>
      <c r="S80" s="43"/>
      <c r="U80" s="37"/>
      <c r="V80" s="37"/>
      <c r="X80" s="36"/>
      <c r="Z80" s="6"/>
      <c r="AA80" s="6"/>
      <c r="AB80" s="6"/>
      <c r="AC80" s="6"/>
      <c r="AG80" s="6"/>
      <c r="AH80" s="6"/>
      <c r="AI80" s="6"/>
      <c r="AJ80" s="6"/>
      <c r="AK80" s="6"/>
      <c r="AL80" s="6"/>
      <c r="AM80" s="6"/>
      <c r="AN80" s="6"/>
    </row>
    <row r="81" spans="9:40" x14ac:dyDescent="0.15">
      <c r="I81" s="14"/>
      <c r="J81" s="3"/>
      <c r="M81" s="26"/>
      <c r="N81" s="13"/>
      <c r="O81" s="30"/>
      <c r="P81" s="39"/>
      <c r="Q81" s="39"/>
      <c r="S81" s="43"/>
      <c r="U81" s="37"/>
      <c r="V81" s="37"/>
      <c r="X81" s="36"/>
      <c r="Z81" s="6"/>
      <c r="AA81" s="6"/>
      <c r="AB81" s="6"/>
      <c r="AC81" s="6"/>
      <c r="AG81" s="6"/>
      <c r="AH81" s="6"/>
      <c r="AI81" s="6"/>
      <c r="AJ81" s="6"/>
      <c r="AK81" s="6"/>
      <c r="AL81" s="6"/>
      <c r="AM81" s="6"/>
      <c r="AN81" s="6"/>
    </row>
    <row r="82" spans="9:40" x14ac:dyDescent="0.15">
      <c r="I82" s="14"/>
      <c r="J82" s="3"/>
      <c r="M82" s="26"/>
      <c r="N82" s="13"/>
      <c r="O82" s="30"/>
      <c r="P82" s="39"/>
      <c r="Q82" s="39"/>
      <c r="S82" s="43"/>
      <c r="U82" s="37"/>
      <c r="V82" s="37"/>
      <c r="X82" s="36"/>
      <c r="Z82" s="6"/>
      <c r="AA82" s="6"/>
      <c r="AB82" s="6"/>
      <c r="AC82" s="6"/>
      <c r="AG82" s="6"/>
      <c r="AH82" s="6"/>
      <c r="AI82" s="6"/>
      <c r="AJ82" s="6"/>
      <c r="AK82" s="6"/>
      <c r="AL82" s="6"/>
      <c r="AM82" s="6"/>
      <c r="AN82" s="6"/>
    </row>
    <row r="83" spans="9:40" x14ac:dyDescent="0.15">
      <c r="I83" s="14"/>
      <c r="J83" s="3"/>
      <c r="M83" s="26"/>
      <c r="N83" s="13"/>
      <c r="O83" s="30"/>
      <c r="P83" s="39"/>
      <c r="Q83" s="39"/>
      <c r="S83" s="43"/>
      <c r="U83" s="37"/>
      <c r="V83" s="37"/>
      <c r="X83" s="36"/>
      <c r="Z83" s="6"/>
      <c r="AA83" s="6"/>
      <c r="AB83" s="6"/>
      <c r="AC83" s="6"/>
      <c r="AG83" s="6"/>
      <c r="AH83" s="6"/>
      <c r="AI83" s="6"/>
      <c r="AJ83" s="6"/>
      <c r="AK83" s="6"/>
      <c r="AL83" s="6"/>
      <c r="AM83" s="6"/>
      <c r="AN83" s="6"/>
    </row>
    <row r="84" spans="9:40" x14ac:dyDescent="0.15">
      <c r="I84" s="14"/>
      <c r="J84" s="3"/>
      <c r="M84" s="26"/>
      <c r="N84" s="13"/>
      <c r="O84" s="30"/>
      <c r="P84" s="39"/>
      <c r="Q84" s="39"/>
      <c r="S84" s="43"/>
      <c r="U84" s="37"/>
      <c r="V84" s="37"/>
      <c r="X84" s="36"/>
      <c r="Z84" s="6"/>
      <c r="AA84" s="6"/>
      <c r="AB84" s="6"/>
      <c r="AC84" s="6"/>
      <c r="AG84" s="6"/>
      <c r="AH84" s="6"/>
      <c r="AI84" s="6"/>
      <c r="AJ84" s="6"/>
      <c r="AK84" s="6"/>
      <c r="AL84" s="6"/>
      <c r="AM84" s="6"/>
      <c r="AN84" s="6"/>
    </row>
    <row r="85" spans="9:40" x14ac:dyDescent="0.15">
      <c r="I85" s="14"/>
      <c r="J85" s="3"/>
      <c r="M85" s="26"/>
      <c r="N85" s="13"/>
      <c r="O85" s="30"/>
      <c r="P85" s="39"/>
      <c r="Q85" s="39"/>
      <c r="S85" s="43"/>
      <c r="U85" s="37"/>
      <c r="V85" s="37"/>
      <c r="X85" s="36"/>
      <c r="Z85" s="6"/>
      <c r="AA85" s="6"/>
      <c r="AB85" s="6"/>
      <c r="AC85" s="6"/>
      <c r="AG85" s="6"/>
      <c r="AH85" s="6"/>
      <c r="AI85" s="6"/>
      <c r="AJ85" s="6"/>
      <c r="AK85" s="6"/>
      <c r="AL85" s="6"/>
      <c r="AM85" s="6"/>
      <c r="AN85" s="6"/>
    </row>
    <row r="86" spans="9:40" x14ac:dyDescent="0.15">
      <c r="I86" s="14"/>
      <c r="J86" s="3"/>
      <c r="M86" s="26"/>
      <c r="N86" s="13"/>
      <c r="O86" s="30"/>
      <c r="P86" s="39"/>
      <c r="Q86" s="39"/>
      <c r="S86" s="43"/>
      <c r="U86" s="37"/>
      <c r="V86" s="37"/>
      <c r="X86" s="36"/>
      <c r="Z86" s="6"/>
      <c r="AA86" s="6"/>
      <c r="AB86" s="6"/>
      <c r="AC86" s="6"/>
      <c r="AG86" s="6"/>
      <c r="AH86" s="6"/>
      <c r="AI86" s="6"/>
      <c r="AJ86" s="6"/>
      <c r="AK86" s="6"/>
      <c r="AL86" s="6"/>
      <c r="AM86" s="6"/>
      <c r="AN86" s="6"/>
    </row>
    <row r="87" spans="9:40" x14ac:dyDescent="0.15">
      <c r="I87" s="14"/>
      <c r="J87" s="3"/>
      <c r="M87" s="26"/>
      <c r="N87" s="13"/>
      <c r="O87" s="30"/>
      <c r="P87" s="39"/>
      <c r="Q87" s="39"/>
      <c r="S87" s="43"/>
      <c r="U87" s="37"/>
      <c r="V87" s="37"/>
      <c r="X87" s="36"/>
      <c r="Z87" s="6"/>
      <c r="AA87" s="6"/>
      <c r="AB87" s="6"/>
      <c r="AC87" s="6"/>
      <c r="AG87" s="6"/>
      <c r="AH87" s="6"/>
      <c r="AI87" s="6"/>
      <c r="AJ87" s="6"/>
      <c r="AK87" s="6"/>
      <c r="AL87" s="6"/>
      <c r="AM87" s="6"/>
      <c r="AN87" s="6"/>
    </row>
    <row r="88" spans="9:40" x14ac:dyDescent="0.15">
      <c r="I88" s="14"/>
      <c r="J88" s="3"/>
      <c r="M88" s="26"/>
      <c r="N88" s="13"/>
      <c r="O88" s="30"/>
      <c r="P88" s="39"/>
      <c r="Q88" s="39"/>
      <c r="S88" s="43"/>
      <c r="U88" s="37"/>
      <c r="V88" s="37"/>
      <c r="X88" s="36"/>
      <c r="Z88" s="6"/>
      <c r="AA88" s="6"/>
      <c r="AB88" s="6"/>
      <c r="AC88" s="6"/>
      <c r="AG88" s="6"/>
      <c r="AH88" s="6"/>
      <c r="AI88" s="6"/>
      <c r="AJ88" s="6"/>
      <c r="AK88" s="6"/>
      <c r="AL88" s="6"/>
      <c r="AM88" s="6"/>
      <c r="AN88" s="6"/>
    </row>
    <row r="89" spans="9:40" x14ac:dyDescent="0.15">
      <c r="I89" s="14"/>
      <c r="J89" s="3"/>
      <c r="M89" s="26"/>
      <c r="N89" s="13"/>
      <c r="O89" s="30"/>
      <c r="P89" s="39"/>
      <c r="Q89" s="39"/>
      <c r="S89" s="43"/>
      <c r="U89" s="37"/>
      <c r="V89" s="37"/>
      <c r="X89" s="36"/>
      <c r="Z89" s="6"/>
      <c r="AA89" s="6"/>
      <c r="AB89" s="6"/>
      <c r="AC89" s="6"/>
      <c r="AG89" s="6"/>
      <c r="AH89" s="6"/>
      <c r="AI89" s="6"/>
      <c r="AJ89" s="6"/>
      <c r="AK89" s="6"/>
      <c r="AL89" s="6"/>
      <c r="AM89" s="6"/>
      <c r="AN89" s="6"/>
    </row>
    <row r="90" spans="9:40" x14ac:dyDescent="0.15">
      <c r="I90" s="14"/>
      <c r="J90" s="3"/>
      <c r="M90" s="26"/>
      <c r="N90" s="13"/>
      <c r="O90" s="30"/>
      <c r="P90" s="39"/>
      <c r="Q90" s="39"/>
      <c r="S90" s="43"/>
      <c r="U90" s="37"/>
      <c r="V90" s="37"/>
      <c r="X90" s="36"/>
      <c r="Z90" s="6"/>
      <c r="AA90" s="6"/>
      <c r="AB90" s="6"/>
      <c r="AC90" s="6"/>
      <c r="AG90" s="6"/>
      <c r="AH90" s="6"/>
      <c r="AI90" s="6"/>
      <c r="AJ90" s="6"/>
      <c r="AK90" s="6"/>
      <c r="AL90" s="6"/>
      <c r="AM90" s="6"/>
      <c r="AN90" s="6"/>
    </row>
    <row r="91" spans="9:40" x14ac:dyDescent="0.15">
      <c r="I91" s="14"/>
      <c r="J91" s="3"/>
      <c r="M91" s="26"/>
      <c r="N91" s="13"/>
      <c r="O91" s="30"/>
      <c r="P91" s="39"/>
      <c r="Q91" s="39"/>
      <c r="S91" s="43"/>
      <c r="U91" s="37"/>
      <c r="V91" s="37"/>
      <c r="X91" s="36"/>
      <c r="Z91" s="6"/>
      <c r="AA91" s="6"/>
      <c r="AB91" s="6"/>
      <c r="AC91" s="6"/>
      <c r="AG91" s="6"/>
      <c r="AH91" s="6"/>
      <c r="AI91" s="6"/>
      <c r="AJ91" s="6"/>
      <c r="AK91" s="6"/>
      <c r="AL91" s="6"/>
      <c r="AM91" s="6"/>
      <c r="AN91" s="6"/>
    </row>
    <row r="92" spans="9:40" x14ac:dyDescent="0.15">
      <c r="I92" s="14"/>
      <c r="J92" s="3"/>
      <c r="M92" s="26"/>
      <c r="N92" s="13"/>
      <c r="O92" s="30"/>
      <c r="P92" s="39"/>
      <c r="Q92" s="39"/>
      <c r="S92" s="43"/>
      <c r="U92" s="37"/>
      <c r="V92" s="37"/>
      <c r="X92" s="36"/>
      <c r="Z92" s="6"/>
      <c r="AA92" s="6"/>
      <c r="AB92" s="6"/>
      <c r="AC92" s="6"/>
      <c r="AG92" s="6"/>
      <c r="AH92" s="6"/>
      <c r="AI92" s="6"/>
      <c r="AJ92" s="6"/>
      <c r="AK92" s="6"/>
      <c r="AL92" s="6"/>
      <c r="AM92" s="6"/>
      <c r="AN92" s="6"/>
    </row>
    <row r="93" spans="9:40" x14ac:dyDescent="0.15">
      <c r="I93" s="14"/>
      <c r="J93" s="3"/>
      <c r="M93" s="26"/>
      <c r="N93" s="13"/>
      <c r="O93" s="30"/>
      <c r="P93" s="39"/>
      <c r="Q93" s="39"/>
      <c r="S93" s="43"/>
      <c r="U93" s="37"/>
      <c r="V93" s="37"/>
      <c r="X93" s="36"/>
      <c r="Z93" s="6"/>
      <c r="AA93" s="6"/>
      <c r="AB93" s="6"/>
      <c r="AC93" s="6"/>
      <c r="AG93" s="6"/>
      <c r="AH93" s="6"/>
      <c r="AI93" s="6"/>
      <c r="AJ93" s="6"/>
      <c r="AK93" s="6"/>
      <c r="AL93" s="6"/>
      <c r="AM93" s="6"/>
      <c r="AN93" s="6"/>
    </row>
    <row r="94" spans="9:40" x14ac:dyDescent="0.15">
      <c r="I94" s="14"/>
      <c r="J94" s="3"/>
      <c r="M94" s="26"/>
      <c r="N94" s="13"/>
      <c r="O94" s="30"/>
      <c r="P94" s="39"/>
      <c r="Q94" s="39"/>
      <c r="S94" s="43"/>
      <c r="U94" s="37"/>
      <c r="V94" s="37"/>
      <c r="X94" s="36"/>
      <c r="Z94" s="6"/>
      <c r="AA94" s="6"/>
      <c r="AB94" s="6"/>
      <c r="AC94" s="6"/>
      <c r="AG94" s="6"/>
      <c r="AH94" s="6"/>
      <c r="AI94" s="6"/>
      <c r="AJ94" s="6"/>
      <c r="AK94" s="6"/>
      <c r="AL94" s="6"/>
      <c r="AM94" s="6"/>
      <c r="AN94" s="6"/>
    </row>
    <row r="95" spans="9:40" x14ac:dyDescent="0.15">
      <c r="I95" s="14"/>
      <c r="J95" s="3"/>
      <c r="M95" s="26"/>
      <c r="N95" s="13"/>
      <c r="O95" s="30"/>
      <c r="P95" s="39"/>
      <c r="Q95" s="39"/>
      <c r="S95" s="43"/>
      <c r="U95" s="37"/>
      <c r="V95" s="37"/>
      <c r="X95" s="36"/>
      <c r="Z95" s="6"/>
      <c r="AA95" s="6"/>
      <c r="AB95" s="6"/>
      <c r="AC95" s="6"/>
      <c r="AG95" s="6"/>
      <c r="AH95" s="6"/>
      <c r="AI95" s="6"/>
      <c r="AJ95" s="6"/>
      <c r="AK95" s="6"/>
      <c r="AL95" s="6"/>
      <c r="AM95" s="6"/>
      <c r="AN95" s="6"/>
    </row>
    <row r="96" spans="9:40" x14ac:dyDescent="0.15">
      <c r="I96" s="14"/>
      <c r="J96" s="3"/>
      <c r="M96" s="26"/>
      <c r="N96" s="13"/>
      <c r="O96" s="30"/>
      <c r="P96" s="39"/>
      <c r="Q96" s="39"/>
      <c r="S96" s="43"/>
      <c r="U96" s="37"/>
      <c r="V96" s="37"/>
      <c r="X96" s="36"/>
      <c r="Z96" s="6"/>
      <c r="AA96" s="6"/>
      <c r="AB96" s="6"/>
      <c r="AC96" s="6"/>
      <c r="AG96" s="6"/>
      <c r="AH96" s="6"/>
      <c r="AI96" s="6"/>
      <c r="AJ96" s="6"/>
      <c r="AK96" s="6"/>
      <c r="AL96" s="6"/>
      <c r="AM96" s="6"/>
      <c r="AN96" s="6"/>
    </row>
    <row r="97" spans="5:40" x14ac:dyDescent="0.15">
      <c r="I97" s="14"/>
      <c r="J97" s="3"/>
      <c r="M97" s="26"/>
      <c r="N97" s="13"/>
      <c r="O97" s="30"/>
      <c r="P97" s="39"/>
      <c r="Q97" s="39"/>
      <c r="S97" s="43"/>
      <c r="U97" s="37"/>
      <c r="V97" s="37"/>
      <c r="X97" s="36"/>
      <c r="Z97" s="6"/>
      <c r="AA97" s="6"/>
      <c r="AB97" s="6"/>
      <c r="AC97" s="6"/>
      <c r="AG97" s="6"/>
      <c r="AH97" s="6"/>
      <c r="AI97" s="6"/>
      <c r="AJ97" s="6"/>
      <c r="AK97" s="6"/>
      <c r="AL97" s="6"/>
      <c r="AM97" s="6"/>
      <c r="AN97" s="6"/>
    </row>
    <row r="98" spans="5:40" x14ac:dyDescent="0.15">
      <c r="I98" s="14"/>
      <c r="J98" s="3"/>
      <c r="M98" s="26"/>
      <c r="N98" s="13"/>
      <c r="O98" s="30"/>
      <c r="P98" s="39"/>
      <c r="Q98" s="39"/>
      <c r="S98" s="43"/>
      <c r="U98" s="37"/>
      <c r="V98" s="37"/>
      <c r="X98" s="36"/>
      <c r="Z98" s="6"/>
      <c r="AA98" s="6"/>
      <c r="AB98" s="6"/>
      <c r="AC98" s="6"/>
      <c r="AG98" s="6"/>
      <c r="AH98" s="6"/>
      <c r="AI98" s="6"/>
      <c r="AJ98" s="6"/>
      <c r="AK98" s="6"/>
      <c r="AL98" s="6"/>
      <c r="AM98" s="6"/>
      <c r="AN98" s="6"/>
    </row>
    <row r="99" spans="5:40" x14ac:dyDescent="0.15">
      <c r="I99" s="14"/>
      <c r="J99" s="3"/>
      <c r="S99" s="43"/>
    </row>
    <row r="100" spans="5:40" x14ac:dyDescent="0.15">
      <c r="I100" s="14"/>
      <c r="J100" s="3"/>
      <c r="S100" s="43"/>
    </row>
    <row r="103" spans="5:40" x14ac:dyDescent="0.15"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AD103" s="44" t="s">
        <v>67</v>
      </c>
      <c r="AE103" s="13">
        <f>AE4</f>
        <v>48514.415999999997</v>
      </c>
      <c r="AF103" s="13">
        <f>SUM(AF4:AF98)</f>
        <v>-4851.4416000000001</v>
      </c>
      <c r="AG103" s="94">
        <f>SUM(AG4:AG98)</f>
        <v>-6958.2316687640969</v>
      </c>
      <c r="AH103" s="94">
        <f>SUM(AH4:AH98)</f>
        <v>-98738.944847287246</v>
      </c>
      <c r="AI103" s="94">
        <f t="shared" ref="AI103:AN103" si="36">SUM(AI4:AI98)</f>
        <v>-62034.20211605134</v>
      </c>
      <c r="AJ103" s="94">
        <f>SUM(AJ4:AJ98)</f>
        <v>-0.1811410601549843</v>
      </c>
      <c r="AK103" s="94">
        <f t="shared" si="36"/>
        <v>21.398367437323795</v>
      </c>
      <c r="AL103" s="94">
        <f>SUM(AL4:AL98)</f>
        <v>-62012.984889674197</v>
      </c>
      <c r="AM103" s="94">
        <f t="shared" si="36"/>
        <v>-1.2610551527127572E-2</v>
      </c>
      <c r="AN103" s="94">
        <f t="shared" si="36"/>
        <v>-62012.997500225698</v>
      </c>
    </row>
    <row r="104" spans="5:40" x14ac:dyDescent="0.15">
      <c r="F104" s="3"/>
      <c r="G104" s="195"/>
      <c r="H104" s="175"/>
      <c r="I104" s="51"/>
      <c r="J104" s="196"/>
      <c r="K104" s="95"/>
      <c r="L104" s="140"/>
      <c r="M104" s="197"/>
      <c r="N104" s="194"/>
      <c r="O104" s="95"/>
      <c r="AD104" s="51"/>
    </row>
    <row r="105" spans="5:40" x14ac:dyDescent="0.15">
      <c r="F105" s="3"/>
      <c r="L105" s="49"/>
      <c r="M105" s="123"/>
    </row>
    <row r="106" spans="5:40" x14ac:dyDescent="0.15">
      <c r="F106" s="3"/>
      <c r="L106" s="49"/>
      <c r="M106" s="49"/>
      <c r="AD106" s="51" t="s">
        <v>69</v>
      </c>
      <c r="AE106" s="54">
        <f>NPV(5.5%,AE5:AE98)+AE4</f>
        <v>48514.415999999997</v>
      </c>
      <c r="AF106" s="54">
        <f t="shared" ref="AF106:AN106" si="37">NPV(5.5%,AF5:AF98)+AF4</f>
        <v>-4851.4416000000001</v>
      </c>
      <c r="AG106" s="54">
        <f>NPV(5.5%,(AG5:AG98))+AG4</f>
        <v>-5726.5337726187108</v>
      </c>
      <c r="AH106" s="54">
        <f t="shared" si="37"/>
        <v>-13923.311305339079</v>
      </c>
      <c r="AI106" s="54">
        <f t="shared" si="37"/>
        <v>24013.129322042216</v>
      </c>
      <c r="AJ106" s="54">
        <f t="shared" si="37"/>
        <v>-20.652463314197547</v>
      </c>
      <c r="AK106" s="54">
        <f t="shared" si="37"/>
        <v>11.56325418529282</v>
      </c>
      <c r="AL106" s="63">
        <f>NPV(5.5%,AL5:AL64)+AL4</f>
        <v>24004.04011291331</v>
      </c>
      <c r="AM106" s="54">
        <f t="shared" si="37"/>
        <v>-0.8607668869466093</v>
      </c>
      <c r="AN106" s="54">
        <f t="shared" si="37"/>
        <v>24003.179346026365</v>
      </c>
    </row>
    <row r="107" spans="5:40" x14ac:dyDescent="0.15">
      <c r="F107" s="3"/>
      <c r="L107" s="49"/>
      <c r="M107" s="49"/>
      <c r="AD107" s="51" t="s">
        <v>70</v>
      </c>
      <c r="AE107" s="13">
        <f>NPV(12%,AE5:AE98)+AE4</f>
        <v>48514.415999999997</v>
      </c>
      <c r="AF107" s="13">
        <f t="shared" ref="AF107:AN107" si="38">NPV(12%,AF5:AF98)+AF4</f>
        <v>-4851.4416000000001</v>
      </c>
      <c r="AG107" s="13">
        <f t="shared" si="38"/>
        <v>-5353.1838794965415</v>
      </c>
      <c r="AH107" s="13">
        <f t="shared" si="38"/>
        <v>-3196.8285689179438</v>
      </c>
      <c r="AI107" s="13">
        <f t="shared" si="38"/>
        <v>35112.961951585516</v>
      </c>
      <c r="AJ107" s="13">
        <f t="shared" si="38"/>
        <v>-30.794088218827476</v>
      </c>
      <c r="AK107" s="13">
        <f t="shared" si="38"/>
        <v>7.8447954552230552</v>
      </c>
      <c r="AL107" s="13">
        <f t="shared" si="38"/>
        <v>35090.012658821914</v>
      </c>
      <c r="AM107" s="13">
        <f t="shared" si="38"/>
        <v>-0.96803171431082058</v>
      </c>
      <c r="AN107" s="13">
        <f t="shared" si="38"/>
        <v>35089.0446271076</v>
      </c>
    </row>
    <row r="111" spans="5:40" x14ac:dyDescent="0.15">
      <c r="F111" s="69" t="s">
        <v>71</v>
      </c>
      <c r="G111" s="69" t="s">
        <v>72</v>
      </c>
      <c r="H111" s="69" t="s">
        <v>73</v>
      </c>
      <c r="I111" s="69" t="s">
        <v>74</v>
      </c>
      <c r="J111" s="69" t="s">
        <v>75</v>
      </c>
      <c r="K111" s="69" t="s">
        <v>76</v>
      </c>
      <c r="L111" s="67" t="s">
        <v>77</v>
      </c>
      <c r="M111" s="67" t="s">
        <v>78</v>
      </c>
      <c r="N111" s="67" t="s">
        <v>79</v>
      </c>
      <c r="O111" s="51"/>
      <c r="S111" s="67" t="s">
        <v>115</v>
      </c>
      <c r="T111" s="67" t="s">
        <v>116</v>
      </c>
      <c r="U111" s="67" t="s">
        <v>117</v>
      </c>
      <c r="V111" s="69"/>
      <c r="W111" s="69"/>
    </row>
    <row r="112" spans="5:40" x14ac:dyDescent="0.15">
      <c r="F112" s="69">
        <v>46</v>
      </c>
      <c r="G112" s="198">
        <v>1857</v>
      </c>
      <c r="H112" s="199">
        <v>100000</v>
      </c>
      <c r="I112" s="200"/>
      <c r="J112" s="200"/>
      <c r="K112" s="198"/>
      <c r="L112" s="104">
        <v>18509.34</v>
      </c>
      <c r="M112" s="88">
        <f>L112*1.2</f>
        <v>22211.207999999999</v>
      </c>
      <c r="N112" s="104">
        <v>2961.47</v>
      </c>
      <c r="O112" s="94"/>
      <c r="P112" s="100"/>
      <c r="S112" s="93">
        <v>-513105088.60000002</v>
      </c>
      <c r="T112" s="75">
        <v>510850000</v>
      </c>
      <c r="U112" s="88">
        <f>T112+S112</f>
        <v>-2255088.6000000238</v>
      </c>
      <c r="V112" s="167">
        <f>U112/T112</f>
        <v>-4.4143850445336674E-3</v>
      </c>
      <c r="W112" s="93">
        <v>-551085284.90999997</v>
      </c>
    </row>
    <row r="113" spans="6:23" x14ac:dyDescent="0.15">
      <c r="F113" s="69">
        <v>47</v>
      </c>
      <c r="G113" s="198">
        <v>2044</v>
      </c>
      <c r="H113" s="199">
        <v>100000</v>
      </c>
      <c r="I113" s="200"/>
      <c r="J113" s="200"/>
      <c r="K113" s="198"/>
      <c r="L113" s="104">
        <v>19279.240000000002</v>
      </c>
      <c r="M113" s="88">
        <f t="shared" ref="M113:M131" si="39">L113*1.2</f>
        <v>23135.088</v>
      </c>
      <c r="N113" s="104">
        <v>3084.68</v>
      </c>
      <c r="O113" s="94"/>
      <c r="P113" s="100"/>
      <c r="S113" s="93">
        <v>-542409784.00999999</v>
      </c>
      <c r="T113" s="75">
        <v>568200000</v>
      </c>
      <c r="U113" s="88">
        <f t="shared" ref="U113:U131" si="40">T113+S113</f>
        <v>25790215.99000001</v>
      </c>
      <c r="V113" s="167">
        <f t="shared" ref="V113:V131" si="41">U113/T113</f>
        <v>4.5389327683914134E-2</v>
      </c>
      <c r="W113" s="93">
        <v>-583987882.67999995</v>
      </c>
    </row>
    <row r="114" spans="6:23" x14ac:dyDescent="0.15">
      <c r="F114" s="69">
        <v>48</v>
      </c>
      <c r="G114" s="198">
        <v>1920</v>
      </c>
      <c r="H114" s="199">
        <v>100000</v>
      </c>
      <c r="I114" s="200"/>
      <c r="J114" s="200"/>
      <c r="K114" s="198"/>
      <c r="L114" s="104">
        <v>20068.16</v>
      </c>
      <c r="M114" s="88">
        <f t="shared" si="39"/>
        <v>24081.791999999998</v>
      </c>
      <c r="N114" s="104">
        <v>3210.91</v>
      </c>
      <c r="O114" s="94"/>
      <c r="P114" s="100"/>
      <c r="S114" s="93">
        <v>-576583660.83000004</v>
      </c>
      <c r="T114" s="75">
        <v>607750000</v>
      </c>
      <c r="U114" s="88">
        <f t="shared" si="40"/>
        <v>31166339.169999957</v>
      </c>
      <c r="V114" s="167">
        <f t="shared" si="41"/>
        <v>5.1281512414644112E-2</v>
      </c>
      <c r="W114" s="93">
        <v>-622555896.97000003</v>
      </c>
    </row>
    <row r="115" spans="6:23" x14ac:dyDescent="0.15">
      <c r="F115" s="69">
        <v>49</v>
      </c>
      <c r="G115" s="198">
        <v>1957</v>
      </c>
      <c r="H115" s="199">
        <v>100000</v>
      </c>
      <c r="I115" s="200"/>
      <c r="J115" s="200"/>
      <c r="K115" s="198"/>
      <c r="L115" s="104">
        <v>20887.66</v>
      </c>
      <c r="M115" s="88">
        <f t="shared" si="39"/>
        <v>25065.191999999999</v>
      </c>
      <c r="N115" s="104">
        <v>3342.03</v>
      </c>
      <c r="O115" s="94"/>
      <c r="P115" s="100"/>
      <c r="S115" s="93">
        <v>-594299600.39999998</v>
      </c>
      <c r="T115" s="75">
        <v>642600000</v>
      </c>
      <c r="U115" s="88">
        <f t="shared" si="40"/>
        <v>48300399.600000024</v>
      </c>
      <c r="V115" s="167">
        <f t="shared" si="41"/>
        <v>7.5164020541549997E-2</v>
      </c>
      <c r="W115" s="93">
        <v>-643617656.98000002</v>
      </c>
    </row>
    <row r="116" spans="6:23" x14ac:dyDescent="0.15">
      <c r="F116" s="69">
        <v>50</v>
      </c>
      <c r="G116" s="198">
        <v>2037</v>
      </c>
      <c r="H116" s="199">
        <v>100000</v>
      </c>
      <c r="I116" s="200"/>
      <c r="J116" s="200"/>
      <c r="K116" s="198"/>
      <c r="L116" s="104">
        <v>21719</v>
      </c>
      <c r="M116" s="88">
        <f t="shared" si="39"/>
        <v>26062.799999999999</v>
      </c>
      <c r="N116" s="104">
        <v>3475.04</v>
      </c>
      <c r="O116" s="94"/>
      <c r="P116" s="100"/>
      <c r="S116" s="93">
        <v>-644117466.42999995</v>
      </c>
      <c r="T116" s="75">
        <v>721900000</v>
      </c>
      <c r="U116" s="88">
        <f t="shared" si="40"/>
        <v>77782533.570000052</v>
      </c>
      <c r="V116" s="167">
        <f t="shared" si="41"/>
        <v>0.10774696435794438</v>
      </c>
      <c r="W116" s="93">
        <v>-699250581.13</v>
      </c>
    </row>
    <row r="117" spans="6:23" x14ac:dyDescent="0.15">
      <c r="F117" s="69">
        <v>51</v>
      </c>
      <c r="G117" s="198">
        <v>1998</v>
      </c>
      <c r="H117" s="199">
        <v>100000</v>
      </c>
      <c r="I117" s="200"/>
      <c r="J117" s="200"/>
      <c r="K117" s="198"/>
      <c r="L117" s="104">
        <v>22570.53</v>
      </c>
      <c r="M117" s="88">
        <f t="shared" si="39"/>
        <v>27084.635999999999</v>
      </c>
      <c r="N117" s="104">
        <v>3611.28</v>
      </c>
      <c r="O117" s="94"/>
      <c r="P117" s="100"/>
      <c r="S117" s="93">
        <v>-663844523.5</v>
      </c>
      <c r="T117" s="75">
        <v>770550000</v>
      </c>
      <c r="U117" s="88">
        <f t="shared" si="40"/>
        <v>106705476.5</v>
      </c>
      <c r="V117" s="167">
        <f t="shared" si="41"/>
        <v>0.13847962688988386</v>
      </c>
      <c r="W117" s="93">
        <v>-723277808.25999999</v>
      </c>
    </row>
    <row r="118" spans="6:23" x14ac:dyDescent="0.15">
      <c r="F118" s="69">
        <v>52</v>
      </c>
      <c r="G118" s="198">
        <v>2022</v>
      </c>
      <c r="H118" s="199">
        <v>100000</v>
      </c>
      <c r="I118" s="200"/>
      <c r="J118" s="200"/>
      <c r="K118" s="198"/>
      <c r="L118" s="104">
        <v>23443.5</v>
      </c>
      <c r="M118" s="88">
        <f t="shared" si="39"/>
        <v>28132.2</v>
      </c>
      <c r="N118" s="104">
        <v>3750.96</v>
      </c>
      <c r="O118" s="94"/>
      <c r="P118" s="100"/>
      <c r="S118" s="93">
        <v>-669449177.58000004</v>
      </c>
      <c r="T118" s="75">
        <v>850000000</v>
      </c>
      <c r="U118" s="88">
        <f t="shared" si="40"/>
        <v>180550822.41999996</v>
      </c>
      <c r="V118" s="167">
        <f t="shared" si="41"/>
        <v>0.21241273225882348</v>
      </c>
      <c r="W118" s="93">
        <v>-730743684.92999995</v>
      </c>
    </row>
    <row r="119" spans="6:23" x14ac:dyDescent="0.15">
      <c r="F119" s="69">
        <v>53</v>
      </c>
      <c r="G119" s="198">
        <v>2070</v>
      </c>
      <c r="H119" s="199">
        <v>100000</v>
      </c>
      <c r="I119" s="200"/>
      <c r="J119" s="200"/>
      <c r="K119" s="198"/>
      <c r="L119" s="104">
        <v>24452.68</v>
      </c>
      <c r="M119" s="88">
        <f t="shared" si="39"/>
        <v>29343.216</v>
      </c>
      <c r="N119" s="201">
        <v>3912.43</v>
      </c>
      <c r="O119" s="94"/>
      <c r="P119" s="100"/>
      <c r="S119" s="93">
        <v>-753853921.38999999</v>
      </c>
      <c r="T119" s="75">
        <v>781000000</v>
      </c>
      <c r="U119" s="88">
        <f t="shared" si="40"/>
        <v>27146078.610000014</v>
      </c>
      <c r="V119" s="167">
        <f t="shared" si="41"/>
        <v>3.4758103213828447E-2</v>
      </c>
      <c r="W119" s="93">
        <v>-796480456.37</v>
      </c>
    </row>
    <row r="120" spans="6:23" x14ac:dyDescent="0.15">
      <c r="F120" s="69">
        <v>54</v>
      </c>
      <c r="G120" s="198">
        <v>1887</v>
      </c>
      <c r="H120" s="199">
        <v>100000</v>
      </c>
      <c r="I120" s="200"/>
      <c r="J120" s="200"/>
      <c r="K120" s="198"/>
      <c r="L120" s="104">
        <v>25498.55</v>
      </c>
      <c r="M120" s="88">
        <f t="shared" si="39"/>
        <v>30598.26</v>
      </c>
      <c r="N120" s="104">
        <v>4079.77</v>
      </c>
      <c r="O120" s="94"/>
      <c r="P120" s="100"/>
      <c r="S120" s="93">
        <v>-783667602.96000004</v>
      </c>
      <c r="T120" s="75">
        <v>824300000</v>
      </c>
      <c r="U120" s="88">
        <f t="shared" si="40"/>
        <v>40632397.039999962</v>
      </c>
      <c r="V120" s="167">
        <f t="shared" si="41"/>
        <v>4.9293214897488731E-2</v>
      </c>
      <c r="W120" s="93">
        <v>-801039708.94000006</v>
      </c>
    </row>
    <row r="121" spans="6:23" x14ac:dyDescent="0.15">
      <c r="F121" s="69">
        <v>55</v>
      </c>
      <c r="G121" s="198">
        <v>1974</v>
      </c>
      <c r="H121" s="199">
        <v>100000</v>
      </c>
      <c r="I121" s="200"/>
      <c r="J121" s="200"/>
      <c r="K121" s="198"/>
      <c r="L121" s="104">
        <v>26580.77</v>
      </c>
      <c r="M121" s="88">
        <f t="shared" si="39"/>
        <v>31896.923999999999</v>
      </c>
      <c r="N121" s="104">
        <v>4252.92</v>
      </c>
      <c r="O121" s="90"/>
      <c r="P121" s="100"/>
      <c r="S121" s="93">
        <v>-896239012.14999998</v>
      </c>
      <c r="T121" s="75">
        <v>871300000</v>
      </c>
      <c r="U121" s="88">
        <f t="shared" si="40"/>
        <v>-24939012.149999976</v>
      </c>
      <c r="V121" s="167">
        <f t="shared" si="41"/>
        <v>-2.8622761563181425E-2</v>
      </c>
      <c r="W121" s="93">
        <v>-884159814.95000005</v>
      </c>
    </row>
    <row r="122" spans="6:23" x14ac:dyDescent="0.15">
      <c r="F122" s="69">
        <v>56</v>
      </c>
      <c r="G122" s="198">
        <v>420</v>
      </c>
      <c r="H122" s="199">
        <v>100000</v>
      </c>
      <c r="I122" s="200"/>
      <c r="J122" s="200"/>
      <c r="K122" s="198"/>
      <c r="L122" s="104">
        <v>27698.97</v>
      </c>
      <c r="M122" s="88">
        <f t="shared" si="39"/>
        <v>33238.764000000003</v>
      </c>
      <c r="N122" s="104">
        <v>4431.83</v>
      </c>
      <c r="O122" s="94"/>
      <c r="P122" s="100"/>
      <c r="S122" s="93">
        <v>-324194592.68000001</v>
      </c>
      <c r="T122" s="75">
        <v>358750000</v>
      </c>
      <c r="U122" s="88">
        <f t="shared" si="40"/>
        <v>34555407.319999993</v>
      </c>
      <c r="V122" s="167">
        <f t="shared" si="41"/>
        <v>9.6321692878048759E-2</v>
      </c>
      <c r="W122" s="93">
        <v>-324194592.68000001</v>
      </c>
    </row>
    <row r="123" spans="6:23" x14ac:dyDescent="0.15">
      <c r="F123" s="69">
        <v>57</v>
      </c>
      <c r="G123" s="198">
        <v>406</v>
      </c>
      <c r="H123" s="199">
        <v>100000</v>
      </c>
      <c r="I123" s="200"/>
      <c r="J123" s="200"/>
      <c r="K123" s="198"/>
      <c r="L123" s="104">
        <v>28915.65</v>
      </c>
      <c r="M123" s="88">
        <f t="shared" si="39"/>
        <v>34698.78</v>
      </c>
      <c r="N123" s="104">
        <v>4626.51</v>
      </c>
      <c r="O123" s="94"/>
      <c r="P123" s="100"/>
      <c r="S123" s="93">
        <v>-334622954.80000001</v>
      </c>
      <c r="T123" s="75">
        <v>363700000</v>
      </c>
      <c r="U123" s="88">
        <f t="shared" si="40"/>
        <v>29077045.199999988</v>
      </c>
      <c r="V123" s="167">
        <f t="shared" si="41"/>
        <v>7.9947883420401392E-2</v>
      </c>
      <c r="W123" s="93">
        <v>-334622954.80000001</v>
      </c>
    </row>
    <row r="124" spans="6:23" x14ac:dyDescent="0.15">
      <c r="F124" s="69">
        <v>58</v>
      </c>
      <c r="G124" s="198">
        <v>399</v>
      </c>
      <c r="H124" s="199">
        <v>100000</v>
      </c>
      <c r="I124" s="200"/>
      <c r="J124" s="200"/>
      <c r="K124" s="198"/>
      <c r="L124" s="104">
        <v>30179.48</v>
      </c>
      <c r="M124" s="88">
        <f t="shared" si="39"/>
        <v>36215.375999999997</v>
      </c>
      <c r="N124" s="104">
        <v>4828.71</v>
      </c>
      <c r="O124" s="90"/>
      <c r="P124" s="100"/>
      <c r="S124" s="93">
        <v>-376474798.62</v>
      </c>
      <c r="T124" s="75">
        <v>398200000</v>
      </c>
      <c r="U124" s="88">
        <f t="shared" si="40"/>
        <v>21725201.379999995</v>
      </c>
      <c r="V124" s="167">
        <f t="shared" si="41"/>
        <v>5.4558516775489695E-2</v>
      </c>
      <c r="W124" s="93">
        <v>-376474798.62</v>
      </c>
    </row>
    <row r="125" spans="6:23" x14ac:dyDescent="0.15">
      <c r="F125" s="69">
        <v>59</v>
      </c>
      <c r="G125" s="198">
        <v>431</v>
      </c>
      <c r="H125" s="199">
        <v>100000</v>
      </c>
      <c r="I125" s="200"/>
      <c r="J125" s="200"/>
      <c r="K125" s="198"/>
      <c r="L125" s="104">
        <v>31491.58</v>
      </c>
      <c r="M125" s="88">
        <f t="shared" si="39"/>
        <v>37789.896000000001</v>
      </c>
      <c r="N125" s="104">
        <v>5038.6499999999996</v>
      </c>
      <c r="O125" s="94"/>
      <c r="P125" s="100"/>
      <c r="S125" s="93">
        <v>-413432977.67000002</v>
      </c>
      <c r="T125" s="75">
        <v>414100000</v>
      </c>
      <c r="U125" s="88">
        <f t="shared" si="40"/>
        <v>667022.32999998331</v>
      </c>
      <c r="V125" s="167">
        <f t="shared" si="41"/>
        <v>1.6107759719874023E-3</v>
      </c>
      <c r="W125" s="93">
        <v>-413432977.67000002</v>
      </c>
    </row>
    <row r="126" spans="6:23" x14ac:dyDescent="0.15">
      <c r="F126" s="69">
        <v>60</v>
      </c>
      <c r="G126" s="198">
        <v>407</v>
      </c>
      <c r="H126" s="199">
        <v>100000</v>
      </c>
      <c r="I126" s="200"/>
      <c r="J126" s="200"/>
      <c r="K126" s="198"/>
      <c r="L126" s="104">
        <v>32850.550000000003</v>
      </c>
      <c r="M126" s="88">
        <f t="shared" si="39"/>
        <v>39420.660000000003</v>
      </c>
      <c r="N126" s="104">
        <v>5256.09</v>
      </c>
      <c r="O126" s="94"/>
      <c r="P126" s="100"/>
      <c r="S126" s="93">
        <v>-450907374.31</v>
      </c>
      <c r="T126" s="75">
        <v>447900000</v>
      </c>
      <c r="U126" s="88">
        <f t="shared" si="40"/>
        <v>-3007374.3100000024</v>
      </c>
      <c r="V126" s="167">
        <f t="shared" si="41"/>
        <v>-6.7143878321053859E-3</v>
      </c>
      <c r="W126" s="93">
        <v>-450907374.31</v>
      </c>
    </row>
    <row r="127" spans="6:23" x14ac:dyDescent="0.15">
      <c r="F127" s="69">
        <v>61</v>
      </c>
      <c r="G127" s="198">
        <v>349</v>
      </c>
      <c r="H127" s="199">
        <v>100000</v>
      </c>
      <c r="I127" s="200"/>
      <c r="J127" s="200"/>
      <c r="K127" s="198"/>
      <c r="L127" s="104">
        <v>34258.1</v>
      </c>
      <c r="M127" s="88">
        <f t="shared" si="39"/>
        <v>41109.719999999994</v>
      </c>
      <c r="N127" s="104">
        <v>5481.3</v>
      </c>
      <c r="O127" s="90"/>
      <c r="P127" s="100"/>
      <c r="S127" s="93">
        <v>-450713107.87</v>
      </c>
      <c r="T127" s="75">
        <v>500650000</v>
      </c>
      <c r="U127" s="88">
        <f t="shared" si="40"/>
        <v>49936892.129999995</v>
      </c>
      <c r="V127" s="167">
        <f t="shared" si="41"/>
        <v>9.974411690801957E-2</v>
      </c>
      <c r="W127" s="93">
        <v>-450713107.87</v>
      </c>
    </row>
    <row r="128" spans="6:23" x14ac:dyDescent="0.15">
      <c r="F128" s="69">
        <v>62</v>
      </c>
      <c r="G128" s="198">
        <v>360</v>
      </c>
      <c r="H128" s="199">
        <v>100000</v>
      </c>
      <c r="I128" s="200"/>
      <c r="J128" s="200"/>
      <c r="K128" s="198"/>
      <c r="L128" s="104">
        <v>35718.239999999998</v>
      </c>
      <c r="M128" s="88">
        <f t="shared" si="39"/>
        <v>42861.887999999999</v>
      </c>
      <c r="N128" s="104">
        <v>5714.92</v>
      </c>
      <c r="O128" s="94"/>
      <c r="P128" s="100"/>
      <c r="S128" s="93">
        <v>-473498544.98000002</v>
      </c>
      <c r="T128" s="75">
        <v>515250000</v>
      </c>
      <c r="U128" s="88">
        <f t="shared" si="40"/>
        <v>41751455.019999981</v>
      </c>
      <c r="V128" s="167">
        <f t="shared" si="41"/>
        <v>8.1031450790878173E-2</v>
      </c>
      <c r="W128" s="93">
        <v>-473498544.98000002</v>
      </c>
    </row>
    <row r="129" spans="6:23" x14ac:dyDescent="0.15">
      <c r="F129" s="69">
        <v>63</v>
      </c>
      <c r="G129" s="198">
        <v>394</v>
      </c>
      <c r="H129" s="199">
        <v>100000</v>
      </c>
      <c r="I129" s="200"/>
      <c r="J129" s="200"/>
      <c r="K129" s="198"/>
      <c r="L129" s="104">
        <v>37232.11</v>
      </c>
      <c r="M129" s="88">
        <f t="shared" si="39"/>
        <v>44678.531999999999</v>
      </c>
      <c r="N129" s="104">
        <v>5957.14</v>
      </c>
      <c r="O129" s="94"/>
      <c r="P129" s="100"/>
      <c r="S129" s="93">
        <v>-553682862.35000002</v>
      </c>
      <c r="T129" s="75">
        <v>537050000</v>
      </c>
      <c r="U129" s="88">
        <f t="shared" si="40"/>
        <v>-16632862.350000024</v>
      </c>
      <c r="V129" s="167">
        <f t="shared" si="41"/>
        <v>-3.0970789218880967E-2</v>
      </c>
      <c r="W129" s="93">
        <v>-553682862.35000002</v>
      </c>
    </row>
    <row r="130" spans="6:23" x14ac:dyDescent="0.15">
      <c r="F130" s="69">
        <v>64</v>
      </c>
      <c r="G130" s="198">
        <v>346</v>
      </c>
      <c r="H130" s="199">
        <v>100000</v>
      </c>
      <c r="I130" s="200"/>
      <c r="J130" s="200"/>
      <c r="K130" s="198"/>
      <c r="L130" s="104">
        <v>38801.96</v>
      </c>
      <c r="M130" s="88">
        <f t="shared" si="39"/>
        <v>46562.351999999999</v>
      </c>
      <c r="N130" s="104">
        <v>6208.32</v>
      </c>
      <c r="O130" s="94"/>
      <c r="P130" s="100"/>
      <c r="S130" s="93">
        <v>-634022859.22000003</v>
      </c>
      <c r="T130" s="75">
        <v>598600000</v>
      </c>
      <c r="U130" s="88">
        <f t="shared" si="40"/>
        <v>-35422859.220000029</v>
      </c>
      <c r="V130" s="167">
        <f t="shared" si="41"/>
        <v>-5.9176176445038468E-2</v>
      </c>
      <c r="W130" s="93">
        <v>-634022859.22000003</v>
      </c>
    </row>
    <row r="131" spans="6:23" x14ac:dyDescent="0.15">
      <c r="F131" s="69">
        <v>65</v>
      </c>
      <c r="G131" s="198">
        <v>299</v>
      </c>
      <c r="H131" s="199">
        <v>100000</v>
      </c>
      <c r="I131" s="200"/>
      <c r="J131" s="200"/>
      <c r="K131" s="198"/>
      <c r="L131" s="104">
        <v>40428.68</v>
      </c>
      <c r="M131" s="88">
        <f t="shared" si="39"/>
        <v>48514.415999999997</v>
      </c>
      <c r="N131" s="104">
        <v>6468.59</v>
      </c>
      <c r="O131" s="94"/>
      <c r="P131" s="100"/>
      <c r="S131" s="93">
        <v>-632191024.75999999</v>
      </c>
      <c r="T131" s="75">
        <v>624400000</v>
      </c>
      <c r="U131" s="88">
        <f t="shared" si="40"/>
        <v>-7791024.7599999905</v>
      </c>
      <c r="V131" s="167">
        <f t="shared" si="41"/>
        <v>-1.2477618129404212E-2</v>
      </c>
      <c r="W131" s="93">
        <v>-632191024.75999999</v>
      </c>
    </row>
    <row r="132" spans="6:23" x14ac:dyDescent="0.15">
      <c r="G132" s="60"/>
      <c r="H132" s="60"/>
      <c r="I132" s="61"/>
      <c r="J132" s="61"/>
      <c r="K132" s="60"/>
    </row>
    <row r="137" spans="6:23" x14ac:dyDescent="0.15">
      <c r="U137" s="96">
        <f>SUM(U112:U131)</f>
        <v>625739064.8900001</v>
      </c>
      <c r="V137" s="103">
        <f>U137/(SUM(T112:T131))</f>
        <v>5.2551980960019493E-2</v>
      </c>
    </row>
  </sheetData>
  <mergeCells count="3">
    <mergeCell ref="AE1:AN1"/>
    <mergeCell ref="S2:X2"/>
    <mergeCell ref="Z2:AC2"/>
  </mergeCells>
  <pageMargins left="0.75" right="0.75" top="1" bottom="1" header="0.5" footer="0.5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5E453-FA93-F949-BA58-B558B4963252}">
  <sheetPr codeName="Sheet24"/>
  <dimension ref="A1:AY157"/>
  <sheetViews>
    <sheetView zoomScale="85" workbookViewId="0">
      <pane ySplit="3" topLeftCell="A134" activePane="bottomLeft" state="frozen"/>
      <selection pane="bottomLeft" activeCell="D66" sqref="D66"/>
    </sheetView>
  </sheetViews>
  <sheetFormatPr baseColWidth="10" defaultColWidth="10.6640625" defaultRowHeight="13" x14ac:dyDescent="0.15"/>
  <cols>
    <col min="1" max="1" width="21.33203125" customWidth="1"/>
    <col min="2" max="2" width="24.33203125" customWidth="1"/>
    <col min="3" max="3" width="16.6640625" customWidth="1"/>
    <col min="4" max="4" width="28.5" customWidth="1"/>
    <col min="6" max="6" width="41.33203125" customWidth="1"/>
    <col min="7" max="7" width="18" customWidth="1"/>
    <col min="8" max="8" width="18.5" customWidth="1"/>
    <col min="9" max="9" width="15.1640625" customWidth="1"/>
    <col min="10" max="10" width="17.1640625" customWidth="1"/>
    <col min="11" max="11" width="20.6640625" customWidth="1"/>
    <col min="12" max="12" width="12.5" customWidth="1"/>
    <col min="13" max="13" width="16.5" customWidth="1"/>
    <col min="14" max="14" width="22" customWidth="1"/>
    <col min="15" max="15" width="25.6640625" customWidth="1"/>
    <col min="16" max="16" width="22.33203125" customWidth="1"/>
    <col min="17" max="17" width="14.33203125" customWidth="1"/>
    <col min="18" max="18" width="11.6640625" customWidth="1"/>
    <col min="19" max="19" width="19.1640625" customWidth="1"/>
    <col min="20" max="20" width="18.6640625" customWidth="1"/>
    <col min="21" max="21" width="18.33203125" bestFit="1" customWidth="1"/>
    <col min="24" max="24" width="16.83203125" customWidth="1"/>
    <col min="25" max="25" width="18.5" customWidth="1"/>
    <col min="26" max="29" width="10.6640625" customWidth="1"/>
    <col min="30" max="30" width="21.6640625" customWidth="1"/>
    <col min="32" max="32" width="11.33203125" customWidth="1"/>
    <col min="33" max="33" width="14.6640625" customWidth="1"/>
    <col min="34" max="34" width="14.5" customWidth="1"/>
    <col min="35" max="35" width="15.5" customWidth="1"/>
    <col min="38" max="38" width="12.5" customWidth="1"/>
    <col min="39" max="39" width="12.1640625" customWidth="1"/>
    <col min="40" max="40" width="13.5" customWidth="1"/>
    <col min="42" max="42" width="16.1640625" customWidth="1"/>
    <col min="44" max="44" width="14.33203125" customWidth="1"/>
    <col min="45" max="45" width="22.83203125" customWidth="1"/>
    <col min="46" max="46" width="17.5" customWidth="1"/>
    <col min="47" max="47" width="11.1640625" customWidth="1"/>
    <col min="51" max="51" width="9.5" bestFit="1" customWidth="1"/>
  </cols>
  <sheetData>
    <row r="1" spans="1:51" ht="16" x14ac:dyDescent="0.2">
      <c r="A1" s="42"/>
      <c r="AE1" s="202" t="s">
        <v>0</v>
      </c>
      <c r="AF1" s="203"/>
      <c r="AG1" s="203"/>
      <c r="AH1" s="203"/>
      <c r="AI1" s="203"/>
      <c r="AJ1" s="203"/>
      <c r="AK1" s="204"/>
      <c r="AL1" s="204"/>
      <c r="AM1" s="204"/>
      <c r="AN1" s="204"/>
    </row>
    <row r="2" spans="1:51" ht="15" x14ac:dyDescent="0.2">
      <c r="K2" s="29" t="s">
        <v>1</v>
      </c>
      <c r="L2" s="29"/>
      <c r="M2" s="29"/>
      <c r="N2" s="29"/>
      <c r="O2" s="29"/>
      <c r="P2" s="29"/>
      <c r="Q2" s="29"/>
      <c r="S2" s="205" t="s">
        <v>2</v>
      </c>
      <c r="T2" s="206"/>
      <c r="U2" s="206"/>
      <c r="V2" s="206"/>
      <c r="W2" s="207"/>
      <c r="X2" s="208"/>
      <c r="Z2" s="209" t="s">
        <v>3</v>
      </c>
      <c r="AA2" s="210"/>
      <c r="AB2" s="210"/>
      <c r="AC2" s="210"/>
      <c r="AE2" s="2" t="s">
        <v>4</v>
      </c>
      <c r="AF2" s="2" t="s">
        <v>5</v>
      </c>
      <c r="AG2" s="2" t="s">
        <v>6</v>
      </c>
      <c r="AH2" s="2" t="s">
        <v>7</v>
      </c>
      <c r="AI2" s="2"/>
      <c r="AJ2" s="2" t="s">
        <v>8</v>
      </c>
      <c r="AK2" s="2" t="s">
        <v>9</v>
      </c>
      <c r="AL2" s="2" t="s">
        <v>10</v>
      </c>
      <c r="AM2" s="2" t="s">
        <v>11</v>
      </c>
      <c r="AN2" s="2" t="s">
        <v>12</v>
      </c>
    </row>
    <row r="3" spans="1:51" ht="28" x14ac:dyDescent="0.15">
      <c r="G3" t="s">
        <v>13</v>
      </c>
      <c r="H3" s="95">
        <v>47786.699800000002</v>
      </c>
      <c r="I3" s="82" t="s">
        <v>14</v>
      </c>
      <c r="J3" s="76" t="s">
        <v>15</v>
      </c>
      <c r="K3" s="2" t="s">
        <v>16</v>
      </c>
      <c r="L3" s="2" t="s">
        <v>17</v>
      </c>
      <c r="M3" s="2" t="s">
        <v>18</v>
      </c>
      <c r="N3" s="77" t="s">
        <v>19</v>
      </c>
      <c r="O3" s="77" t="s">
        <v>20</v>
      </c>
      <c r="P3" s="77">
        <v>48514.26</v>
      </c>
      <c r="Q3" s="77" t="s">
        <v>22</v>
      </c>
      <c r="R3" s="77"/>
      <c r="S3" s="77" t="s">
        <v>23</v>
      </c>
      <c r="T3" s="77" t="s">
        <v>24</v>
      </c>
      <c r="U3" s="77" t="s">
        <v>25</v>
      </c>
      <c r="V3" s="77" t="s">
        <v>26</v>
      </c>
      <c r="W3" s="77" t="s">
        <v>27</v>
      </c>
      <c r="X3" s="77" t="s">
        <v>28</v>
      </c>
      <c r="Y3" s="77"/>
      <c r="Z3" s="77" t="s">
        <v>29</v>
      </c>
      <c r="AA3" s="77" t="s">
        <v>30</v>
      </c>
      <c r="AB3" s="77" t="s">
        <v>31</v>
      </c>
      <c r="AC3" s="77" t="s">
        <v>32</v>
      </c>
      <c r="AD3" s="77"/>
      <c r="AE3" s="78" t="s">
        <v>33</v>
      </c>
      <c r="AF3" s="78" t="s">
        <v>34</v>
      </c>
      <c r="AG3" s="78" t="s">
        <v>35</v>
      </c>
      <c r="AH3" s="78" t="s">
        <v>36</v>
      </c>
      <c r="AI3" s="78" t="s">
        <v>37</v>
      </c>
      <c r="AJ3" s="78" t="s">
        <v>38</v>
      </c>
      <c r="AK3" s="78" t="s">
        <v>39</v>
      </c>
      <c r="AL3" s="78" t="s">
        <v>40</v>
      </c>
      <c r="AM3" s="78" t="s">
        <v>41</v>
      </c>
      <c r="AN3" s="78">
        <v>0</v>
      </c>
      <c r="AO3" s="7" t="s">
        <v>43</v>
      </c>
      <c r="AP3" s="2"/>
      <c r="AQ3" s="2"/>
    </row>
    <row r="4" spans="1:51" x14ac:dyDescent="0.15">
      <c r="A4" s="83" t="s">
        <v>44</v>
      </c>
      <c r="B4" s="19"/>
      <c r="C4" s="19"/>
      <c r="D4" s="19"/>
      <c r="E4">
        <v>65</v>
      </c>
      <c r="H4" s="2"/>
      <c r="I4" s="2"/>
      <c r="J4" s="2">
        <v>0</v>
      </c>
      <c r="K4" s="13">
        <f>$H$3</f>
        <v>47786.699800000002</v>
      </c>
      <c r="L4" s="13">
        <f>K4*C16</f>
        <v>4778.6699800000006</v>
      </c>
      <c r="M4" s="26">
        <f>100+10%*K4+B40</f>
        <v>4998.6699800000006</v>
      </c>
      <c r="N4" s="13">
        <f>$E$11</f>
        <v>100000</v>
      </c>
      <c r="O4" s="50">
        <v>0.8</v>
      </c>
      <c r="P4" s="6">
        <f>N4*O4/1000</f>
        <v>80</v>
      </c>
      <c r="Q4" s="39">
        <f>$H$14*N4/1000</f>
        <v>1</v>
      </c>
      <c r="U4" s="38">
        <v>1</v>
      </c>
      <c r="V4" s="36"/>
      <c r="W4" s="36"/>
      <c r="X4" s="36">
        <f>U4-SUM(V4:W4)</f>
        <v>1</v>
      </c>
      <c r="Y4" s="36"/>
      <c r="Z4" s="6"/>
      <c r="AA4" s="6"/>
      <c r="AB4" s="6">
        <f>P4*X4</f>
        <v>80</v>
      </c>
      <c r="AC4" s="6">
        <f>Q4*X4</f>
        <v>1</v>
      </c>
      <c r="AD4" s="36"/>
      <c r="AE4" s="6">
        <f>$X4*K4</f>
        <v>47786.699800000002</v>
      </c>
      <c r="AF4" s="6">
        <f>-$X4*L4</f>
        <v>-4778.6699800000006</v>
      </c>
      <c r="AG4" s="6">
        <f>-$X4*M4</f>
        <v>-4998.6699800000006</v>
      </c>
      <c r="AH4" s="6"/>
      <c r="AI4" s="6">
        <f>SUM(AE4:AH4)</f>
        <v>38009.359840000005</v>
      </c>
      <c r="AJ4" s="6">
        <f>Z4-AB4</f>
        <v>-80</v>
      </c>
      <c r="AK4" s="6"/>
      <c r="AL4" s="6">
        <f>SUM(AI4:AK4)</f>
        <v>37929.359840000005</v>
      </c>
      <c r="AM4" s="6">
        <f>AA4-AC4</f>
        <v>-1</v>
      </c>
      <c r="AN4" s="6">
        <f>AL4+AM4</f>
        <v>37928.359840000005</v>
      </c>
      <c r="AP4" s="41">
        <f>AL106</f>
        <v>6770.3452101247058</v>
      </c>
      <c r="AR4" s="128" t="s">
        <v>45</v>
      </c>
      <c r="AS4" s="23"/>
      <c r="AT4" s="32"/>
      <c r="AU4" s="23"/>
      <c r="AV4" s="32"/>
      <c r="AW4" s="32"/>
      <c r="AX4" s="23"/>
    </row>
    <row r="5" spans="1:51" x14ac:dyDescent="0.15">
      <c r="H5" s="28"/>
      <c r="I5" s="14">
        <f>$E$4+J5-1</f>
        <v>65</v>
      </c>
      <c r="J5" s="3">
        <f>J4+1</f>
        <v>1</v>
      </c>
      <c r="K5" s="13"/>
      <c r="L5" s="13"/>
      <c r="M5" s="26">
        <v>50</v>
      </c>
      <c r="N5" s="13">
        <f t="shared" ref="N5:N64" si="0">$E$11</f>
        <v>100000</v>
      </c>
      <c r="O5" s="30">
        <v>0.3</v>
      </c>
      <c r="P5" s="39">
        <f t="shared" ref="P5:P23" si="1">N5*O5/1000</f>
        <v>30</v>
      </c>
      <c r="Q5" s="39">
        <f t="shared" ref="Q5:Q68" si="2">$H$14*N5/1000</f>
        <v>1</v>
      </c>
      <c r="R5" s="30"/>
      <c r="S5" s="43">
        <f>IFERROR(VLOOKUP(I5,'Mortality Table Latest'!$A$3:$E$123,4,FALSE)*1000*(1-$B$41),1)</f>
        <v>6.9505999999999997</v>
      </c>
      <c r="T5" s="49"/>
      <c r="U5" s="37">
        <f>IFERROR(X4,0)</f>
        <v>1</v>
      </c>
      <c r="V5" s="37">
        <f>U5*S5/1000</f>
        <v>6.9505999999999995E-3</v>
      </c>
      <c r="W5" s="37"/>
      <c r="X5" s="36">
        <f>U5-SUM(V5:W5)</f>
        <v>0.99304939999999997</v>
      </c>
      <c r="Y5" s="36"/>
      <c r="Z5" s="6">
        <f>AB4</f>
        <v>80</v>
      </c>
      <c r="AA5" s="6">
        <f>AC4</f>
        <v>1</v>
      </c>
      <c r="AB5" s="6">
        <f t="shared" ref="AB5:AB64" si="3">P5*X5</f>
        <v>29.791481999999998</v>
      </c>
      <c r="AC5" s="6">
        <f t="shared" ref="AC5:AC52" si="4">Q5*X5</f>
        <v>0.99304939999999997</v>
      </c>
      <c r="AD5" s="36"/>
      <c r="AE5" s="6">
        <f t="shared" ref="AE5:AE24" si="5">$X5*K5</f>
        <v>0</v>
      </c>
      <c r="AF5" s="6">
        <f t="shared" ref="AF5:AG20" si="6">-$X5*L5</f>
        <v>0</v>
      </c>
      <c r="AG5" s="6">
        <f t="shared" si="6"/>
        <v>-49.652470000000001</v>
      </c>
      <c r="AH5" s="6">
        <f>-V5*N5</f>
        <v>-695.06</v>
      </c>
      <c r="AI5" s="6">
        <f>SUM(AE5:AH5)</f>
        <v>-744.71246999999994</v>
      </c>
      <c r="AJ5" s="6">
        <f>-N5*$X4*(O5-O4)/1000</f>
        <v>50</v>
      </c>
      <c r="AK5" s="6">
        <f>$D$6*SUM(Z5:AA5,AE5:AF5)</f>
        <v>2.4056999999999999</v>
      </c>
      <c r="AL5" s="6">
        <f t="shared" ref="AL5:AL14" si="7">SUM(AI5:AK5)</f>
        <v>-692.30676999999991</v>
      </c>
      <c r="AM5" s="6">
        <f t="shared" ref="AM5:AM64" si="8">AA5-AC5</f>
        <v>6.950600000000029E-3</v>
      </c>
      <c r="AN5" s="6">
        <f t="shared" ref="AN5:AN64" si="9">AL5+AM5</f>
        <v>-692.29981939999993</v>
      </c>
      <c r="AO5" t="s">
        <v>46</v>
      </c>
      <c r="AP5" s="28"/>
      <c r="AR5" s="126">
        <v>2023</v>
      </c>
      <c r="AS5" s="23">
        <f>AH5</f>
        <v>-695.06</v>
      </c>
      <c r="AT5" s="32">
        <f>INDEX('WL Non-Smoker Mortality Exp'!$A$25:$U$45,MATCH('Whole Life Non-Smoker W Inter'!AR5,'WL Non-Smoker Mortality Exp'!$A$25:$A$45,0),MATCH('Whole Life Non-Smoker W Inter'!$E$4,'WL Non-Smoker Mortality Exp'!$A$25:$U$25,0))</f>
        <v>206</v>
      </c>
      <c r="AU5" s="23"/>
      <c r="AV5" s="32"/>
      <c r="AW5" s="32"/>
      <c r="AX5" s="23"/>
    </row>
    <row r="6" spans="1:51" x14ac:dyDescent="0.15">
      <c r="A6" s="15" t="s">
        <v>47</v>
      </c>
      <c r="B6" s="15"/>
      <c r="C6" s="15"/>
      <c r="D6" s="110">
        <v>2.9700000000000001E-2</v>
      </c>
      <c r="E6" s="8"/>
      <c r="F6" s="8"/>
      <c r="G6" s="8"/>
      <c r="H6" s="2"/>
      <c r="I6" s="14">
        <f t="shared" ref="I6:I64" si="10">$E$4+J6-1</f>
        <v>66</v>
      </c>
      <c r="J6" s="3">
        <f t="shared" ref="J6:J64" si="11">J5+1</f>
        <v>2</v>
      </c>
      <c r="K6" s="13"/>
      <c r="L6" s="13"/>
      <c r="M6" s="26">
        <v>50</v>
      </c>
      <c r="N6" s="13">
        <f t="shared" si="0"/>
        <v>100000</v>
      </c>
      <c r="O6" s="30">
        <v>0.4</v>
      </c>
      <c r="P6" s="39">
        <f t="shared" si="1"/>
        <v>40</v>
      </c>
      <c r="Q6" s="39">
        <f t="shared" si="2"/>
        <v>1</v>
      </c>
      <c r="R6" s="30"/>
      <c r="S6" s="43">
        <f>IFERROR(VLOOKUP(I6,'Mortality Table Latest'!$A$3:$E$123,4,FALSE)*1000*(1-$B$41),1)</f>
        <v>7.6139200000000002</v>
      </c>
      <c r="T6" s="33"/>
      <c r="U6" s="37">
        <f t="shared" ref="U6:U64" si="12">IFERROR(X5,0)</f>
        <v>0.99304939999999997</v>
      </c>
      <c r="V6" s="37">
        <f>U6*S6/1000</f>
        <v>7.5609986876480004E-3</v>
      </c>
      <c r="W6" s="37"/>
      <c r="X6" s="36">
        <f>U6-SUM(V6:W6)</f>
        <v>0.98548840131235194</v>
      </c>
      <c r="Y6" s="36"/>
      <c r="Z6" s="6">
        <f>AB5</f>
        <v>29.791481999999998</v>
      </c>
      <c r="AA6" s="6">
        <f t="shared" ref="Z6:AA21" si="13">AC5</f>
        <v>0.99304939999999997</v>
      </c>
      <c r="AB6" s="6">
        <f t="shared" si="3"/>
        <v>39.419536052494081</v>
      </c>
      <c r="AC6" s="6">
        <f t="shared" si="4"/>
        <v>0.98548840131235194</v>
      </c>
      <c r="AD6" s="36"/>
      <c r="AE6" s="6">
        <f t="shared" si="5"/>
        <v>0</v>
      </c>
      <c r="AF6" s="6">
        <f t="shared" si="6"/>
        <v>0</v>
      </c>
      <c r="AG6" s="6">
        <f t="shared" si="6"/>
        <v>-49.274420065617598</v>
      </c>
      <c r="AH6" s="6">
        <f t="shared" ref="AH6:AH64" si="14">-V6*N6</f>
        <v>-756.09986876480002</v>
      </c>
      <c r="AI6" s="6">
        <f t="shared" ref="AI6:AI13" si="15">SUM(AE6:AH6)</f>
        <v>-805.37428883041764</v>
      </c>
      <c r="AJ6" s="6">
        <f>-N6*($X5*O6-$X4*O5)/1000</f>
        <v>-9.7219760000000051</v>
      </c>
      <c r="AK6" s="6">
        <f>$D$6*SUM(Z6:AA6,AE6:AF6)</f>
        <v>0.91430058258000002</v>
      </c>
      <c r="AL6" s="6">
        <f t="shared" si="7"/>
        <v>-814.18196424783764</v>
      </c>
      <c r="AM6" s="6">
        <f t="shared" si="8"/>
        <v>7.5609986876480351E-3</v>
      </c>
      <c r="AN6" s="6">
        <f t="shared" si="9"/>
        <v>-814.17440324915003</v>
      </c>
      <c r="AP6" s="41">
        <f>AL106</f>
        <v>6770.3452101247058</v>
      </c>
      <c r="AR6" s="126">
        <f>AR5-1</f>
        <v>2022</v>
      </c>
      <c r="AS6" s="23">
        <f>SUM($AH$5:AH6)</f>
        <v>-1451.1598687648</v>
      </c>
      <c r="AT6" s="32">
        <f>INDEX('WL Non-Smoker Mortality Exp'!$A$25:$U$45,MATCH('Whole Life Non-Smoker W Inter'!AR6,'WL Non-Smoker Mortality Exp'!$A$25:$A$45,0),MATCH('Whole Life Non-Smoker W Inter'!$E$4,'WL Non-Smoker Mortality Exp'!$A$25:$U$25,0))</f>
        <v>170</v>
      </c>
      <c r="AU6" s="23"/>
      <c r="AV6" s="32"/>
      <c r="AW6" s="32"/>
      <c r="AX6" s="23"/>
    </row>
    <row r="7" spans="1:51" x14ac:dyDescent="0.15">
      <c r="A7" s="19" t="s">
        <v>48</v>
      </c>
      <c r="B7" s="19"/>
      <c r="C7" s="79"/>
      <c r="D7" s="11">
        <v>5.5E-2</v>
      </c>
      <c r="E7" s="8"/>
      <c r="F7" s="8"/>
      <c r="G7" s="8"/>
      <c r="H7" s="47"/>
      <c r="I7" s="14">
        <f t="shared" si="10"/>
        <v>67</v>
      </c>
      <c r="J7" s="3">
        <f t="shared" si="11"/>
        <v>3</v>
      </c>
      <c r="K7" s="13"/>
      <c r="L7" s="13"/>
      <c r="M7" s="26">
        <v>50</v>
      </c>
      <c r="N7" s="13">
        <f t="shared" si="0"/>
        <v>100000</v>
      </c>
      <c r="O7" s="30">
        <v>0.4</v>
      </c>
      <c r="P7" s="39">
        <f t="shared" si="1"/>
        <v>40</v>
      </c>
      <c r="Q7" s="39">
        <f t="shared" si="2"/>
        <v>1</v>
      </c>
      <c r="R7" s="30"/>
      <c r="S7" s="43">
        <f>IFERROR(VLOOKUP(I7,'Mortality Table Latest'!$A$3:$E$123,4,FALSE)*1000*(1-$B$41),1)</f>
        <v>8.3186400000000003</v>
      </c>
      <c r="T7" s="33"/>
      <c r="U7" s="37">
        <f t="shared" si="12"/>
        <v>0.98548840131235194</v>
      </c>
      <c r="V7" s="37">
        <f>U7*S7/1000</f>
        <v>8.1979232346929831E-3</v>
      </c>
      <c r="W7" s="37"/>
      <c r="X7" s="36">
        <f t="shared" ref="X7:X64" si="16">U7-SUM(V7:W7)</f>
        <v>0.97729047807765901</v>
      </c>
      <c r="Y7" s="36"/>
      <c r="Z7" s="6">
        <f t="shared" si="13"/>
        <v>39.419536052494081</v>
      </c>
      <c r="AA7" s="6">
        <f t="shared" si="13"/>
        <v>0.98548840131235194</v>
      </c>
      <c r="AB7" s="6">
        <f t="shared" si="3"/>
        <v>39.091619123106362</v>
      </c>
      <c r="AC7" s="6">
        <f t="shared" si="4"/>
        <v>0.97729047807765901</v>
      </c>
      <c r="AD7" s="36"/>
      <c r="AE7" s="6">
        <f t="shared" si="5"/>
        <v>0</v>
      </c>
      <c r="AF7" s="6">
        <f t="shared" si="6"/>
        <v>0</v>
      </c>
      <c r="AG7" s="6">
        <f t="shared" si="6"/>
        <v>-48.864523903882947</v>
      </c>
      <c r="AH7" s="6">
        <f t="shared" si="14"/>
        <v>-819.79232346929837</v>
      </c>
      <c r="AI7" s="6">
        <f t="shared" si="15"/>
        <v>-868.65684737318134</v>
      </c>
      <c r="AJ7" s="6">
        <f t="shared" ref="AJ7:AJ64" si="17">-N7*($X6*O7-$X5*O6)/1000</f>
        <v>0.30243994750592251</v>
      </c>
      <c r="AK7" s="6">
        <f t="shared" ref="AK7:AK64" si="18">$D$6*SUM(Z7:AA7,AE7:AF7)</f>
        <v>1.2000292262780512</v>
      </c>
      <c r="AL7" s="6">
        <f t="shared" si="7"/>
        <v>-867.15437819939734</v>
      </c>
      <c r="AM7" s="6">
        <f t="shared" si="8"/>
        <v>8.1979232346929276E-3</v>
      </c>
      <c r="AN7" s="6">
        <f t="shared" si="9"/>
        <v>-867.14618027616268</v>
      </c>
      <c r="AR7" s="126">
        <f t="shared" ref="AR7:AR22" si="19">AR6-1</f>
        <v>2021</v>
      </c>
      <c r="AS7" s="23">
        <f>SUM($AH$5:AH7)</f>
        <v>-2270.9521922340982</v>
      </c>
      <c r="AT7" s="32">
        <f>INDEX('WL Non-Smoker Mortality Exp'!$A$25:$U$45,MATCH('Whole Life Non-Smoker W Inter'!AR7,'WL Non-Smoker Mortality Exp'!$A$25:$A$45,0),MATCH('Whole Life Non-Smoker W Inter'!$E$4,'WL Non-Smoker Mortality Exp'!$A$25:$U$25,0))</f>
        <v>204</v>
      </c>
      <c r="AU7" s="23"/>
      <c r="AV7" s="32"/>
      <c r="AW7" s="32"/>
      <c r="AX7" s="23"/>
    </row>
    <row r="8" spans="1:51" x14ac:dyDescent="0.15">
      <c r="A8" s="15" t="s">
        <v>49</v>
      </c>
      <c r="B8" s="15"/>
      <c r="C8" s="16"/>
      <c r="D8" s="2"/>
      <c r="E8" s="2"/>
      <c r="F8" s="2"/>
      <c r="G8" s="2"/>
      <c r="H8" s="2"/>
      <c r="I8" s="14">
        <f t="shared" si="10"/>
        <v>68</v>
      </c>
      <c r="J8" s="3">
        <f t="shared" si="11"/>
        <v>4</v>
      </c>
      <c r="K8" s="13"/>
      <c r="L8" s="13"/>
      <c r="M8" s="26">
        <v>50</v>
      </c>
      <c r="N8" s="13">
        <f t="shared" si="0"/>
        <v>100000</v>
      </c>
      <c r="O8" s="30">
        <v>0.4</v>
      </c>
      <c r="P8" s="39">
        <f t="shared" si="1"/>
        <v>40</v>
      </c>
      <c r="Q8" s="39">
        <f t="shared" si="2"/>
        <v>1</v>
      </c>
      <c r="R8" s="30"/>
      <c r="S8" s="43">
        <f>IFERROR(VLOOKUP(I8,'Mortality Table Latest'!$A$3:$E$123,4,FALSE)*1000*(1-$B$41),1)</f>
        <v>9.1135200000000012</v>
      </c>
      <c r="T8" s="33"/>
      <c r="U8" s="37">
        <f t="shared" si="12"/>
        <v>0.97729047807765901</v>
      </c>
      <c r="V8" s="37">
        <f>U8*S8/1000</f>
        <v>8.9065563177703078E-3</v>
      </c>
      <c r="W8" s="37"/>
      <c r="X8" s="36">
        <f t="shared" si="16"/>
        <v>0.96838392175988874</v>
      </c>
      <c r="Y8" s="36"/>
      <c r="Z8" s="6">
        <f t="shared" si="13"/>
        <v>39.091619123106362</v>
      </c>
      <c r="AA8" s="6">
        <f t="shared" si="13"/>
        <v>0.97729047807765901</v>
      </c>
      <c r="AB8" s="6">
        <f t="shared" si="3"/>
        <v>38.735356870395549</v>
      </c>
      <c r="AC8" s="6">
        <f t="shared" si="4"/>
        <v>0.96838392175988874</v>
      </c>
      <c r="AD8" s="36"/>
      <c r="AE8" s="6">
        <f t="shared" si="5"/>
        <v>0</v>
      </c>
      <c r="AF8" s="6">
        <f t="shared" si="6"/>
        <v>0</v>
      </c>
      <c r="AG8" s="6">
        <f t="shared" si="6"/>
        <v>-48.419196087994436</v>
      </c>
      <c r="AH8" s="6">
        <f t="shared" si="14"/>
        <v>-890.65563177703075</v>
      </c>
      <c r="AI8" s="6">
        <f t="shared" si="15"/>
        <v>-939.07482786502521</v>
      </c>
      <c r="AJ8" s="6">
        <f t="shared" si="17"/>
        <v>0.3279169293877171</v>
      </c>
      <c r="AK8" s="6">
        <f t="shared" si="18"/>
        <v>1.1900466151551654</v>
      </c>
      <c r="AL8" s="6">
        <f t="shared" si="7"/>
        <v>-937.5568643204823</v>
      </c>
      <c r="AM8" s="6">
        <f t="shared" si="8"/>
        <v>8.9065563177702645E-3</v>
      </c>
      <c r="AN8" s="6">
        <f t="shared" si="9"/>
        <v>-937.54795776416449</v>
      </c>
      <c r="AR8" s="126">
        <f t="shared" si="19"/>
        <v>2020</v>
      </c>
      <c r="AS8" s="23">
        <f>SUM($AH$5:AH8)</f>
        <v>-3161.6078240111292</v>
      </c>
      <c r="AT8" s="32">
        <f>INDEX('WL Non-Smoker Mortality Exp'!$A$25:$U$45,MATCH('Whole Life Non-Smoker W Inter'!AR8,'WL Non-Smoker Mortality Exp'!$A$25:$A$45,0),MATCH('Whole Life Non-Smoker W Inter'!$E$4,'WL Non-Smoker Mortality Exp'!$A$25:$U$25,0))</f>
        <v>191</v>
      </c>
      <c r="AU8" s="23"/>
      <c r="AV8" s="32"/>
      <c r="AW8" s="32"/>
      <c r="AX8" s="23"/>
    </row>
    <row r="9" spans="1:51" x14ac:dyDescent="0.15">
      <c r="A9" s="15"/>
      <c r="B9" s="16" t="s">
        <v>50</v>
      </c>
      <c r="C9" s="16" t="s">
        <v>51</v>
      </c>
      <c r="D9" s="2"/>
      <c r="E9" s="2"/>
      <c r="F9" s="2"/>
      <c r="G9" s="2"/>
      <c r="H9" s="2"/>
      <c r="I9" s="14">
        <f t="shared" si="10"/>
        <v>69</v>
      </c>
      <c r="J9" s="3">
        <f t="shared" si="11"/>
        <v>5</v>
      </c>
      <c r="K9" s="13"/>
      <c r="L9" s="13"/>
      <c r="M9" s="26">
        <v>50</v>
      </c>
      <c r="N9" s="13">
        <f>$E$11</f>
        <v>100000</v>
      </c>
      <c r="O9" s="30">
        <v>0.4</v>
      </c>
      <c r="P9" s="39">
        <f t="shared" si="1"/>
        <v>40</v>
      </c>
      <c r="Q9" s="39">
        <f t="shared" si="2"/>
        <v>1</v>
      </c>
      <c r="R9" s="30"/>
      <c r="S9" s="43">
        <f>IFERROR(VLOOKUP(I9,'Mortality Table Latest'!$A$3:$E$123,4,FALSE)*1000*(1-$B$41),1)</f>
        <v>10.00868</v>
      </c>
      <c r="T9" s="33"/>
      <c r="U9" s="37">
        <f t="shared" si="12"/>
        <v>0.96838392175988874</v>
      </c>
      <c r="V9" s="37">
        <f>U9*S9/1000</f>
        <v>9.6922447900397637E-3</v>
      </c>
      <c r="W9" s="37"/>
      <c r="X9" s="36">
        <f t="shared" si="16"/>
        <v>0.95869167696984903</v>
      </c>
      <c r="Y9" s="36"/>
      <c r="Z9" s="6">
        <f t="shared" si="13"/>
        <v>38.735356870395549</v>
      </c>
      <c r="AA9" s="6">
        <f t="shared" si="13"/>
        <v>0.96838392175988874</v>
      </c>
      <c r="AB9" s="6">
        <f t="shared" si="3"/>
        <v>38.347667078793961</v>
      </c>
      <c r="AC9" s="6">
        <f t="shared" si="4"/>
        <v>0.95869167696984903</v>
      </c>
      <c r="AD9" s="36"/>
      <c r="AE9" s="6">
        <f t="shared" si="5"/>
        <v>0</v>
      </c>
      <c r="AF9" s="6">
        <f t="shared" si="6"/>
        <v>0</v>
      </c>
      <c r="AG9" s="6">
        <f t="shared" si="6"/>
        <v>-47.934583848492451</v>
      </c>
      <c r="AH9" s="6">
        <f t="shared" si="14"/>
        <v>-969.2244790039764</v>
      </c>
      <c r="AI9" s="6">
        <f t="shared" si="15"/>
        <v>-1017.1590628524689</v>
      </c>
      <c r="AJ9" s="6">
        <f t="shared" si="17"/>
        <v>0.35626225271080947</v>
      </c>
      <c r="AK9" s="6">
        <f t="shared" si="18"/>
        <v>1.1792011015270165</v>
      </c>
      <c r="AL9" s="6">
        <f t="shared" si="7"/>
        <v>-1015.623599498231</v>
      </c>
      <c r="AM9" s="6">
        <f t="shared" si="8"/>
        <v>9.6922447900397168E-3</v>
      </c>
      <c r="AN9" s="6">
        <f t="shared" si="9"/>
        <v>-1015.613907253441</v>
      </c>
      <c r="AR9" s="126">
        <f t="shared" si="19"/>
        <v>2019</v>
      </c>
      <c r="AS9" s="23">
        <f>SUM($AH$5:AH9)</f>
        <v>-4130.8323030151059</v>
      </c>
      <c r="AT9" s="32">
        <f>INDEX('WL Non-Smoker Mortality Exp'!$A$25:$U$45,MATCH('Whole Life Non-Smoker W Inter'!AR9,'WL Non-Smoker Mortality Exp'!$A$25:$A$45,0),MATCH('Whole Life Non-Smoker W Inter'!$E$4,'WL Non-Smoker Mortality Exp'!$A$25:$U$25,0))</f>
        <v>177</v>
      </c>
      <c r="AU9" s="23"/>
      <c r="AV9" s="32"/>
      <c r="AW9" s="32"/>
      <c r="AX9" s="23"/>
    </row>
    <row r="10" spans="1:51" x14ac:dyDescent="0.15">
      <c r="A10" s="15"/>
      <c r="B10" s="16">
        <v>1</v>
      </c>
      <c r="C10" s="80">
        <v>7.0000000000000007E-2</v>
      </c>
      <c r="D10" s="2"/>
      <c r="E10" s="53" t="s">
        <v>52</v>
      </c>
      <c r="F10" s="20"/>
      <c r="G10" s="2"/>
      <c r="H10" s="2"/>
      <c r="I10" s="14">
        <f t="shared" si="10"/>
        <v>70</v>
      </c>
      <c r="J10" s="3">
        <f t="shared" si="11"/>
        <v>6</v>
      </c>
      <c r="K10" s="13"/>
      <c r="L10" s="13"/>
      <c r="M10" s="26">
        <v>50</v>
      </c>
      <c r="N10" s="13">
        <f t="shared" si="0"/>
        <v>100000</v>
      </c>
      <c r="O10" s="30">
        <v>0.4</v>
      </c>
      <c r="P10" s="39">
        <f t="shared" si="1"/>
        <v>40</v>
      </c>
      <c r="Q10" s="39">
        <f t="shared" si="2"/>
        <v>1</v>
      </c>
      <c r="R10" s="30"/>
      <c r="S10" s="43">
        <f>IFERROR(VLOOKUP(I10,'Mortality Table Latest'!$A$3:$E$123,4,FALSE)*1000*(1-$B$41),1)</f>
        <v>11.033560000000001</v>
      </c>
      <c r="T10" s="33"/>
      <c r="U10" s="37">
        <f t="shared" si="12"/>
        <v>0.95869167696984903</v>
      </c>
      <c r="V10" s="37">
        <f t="shared" ref="V10:V64" si="20">U10*S10/1000</f>
        <v>1.0577782139347448E-2</v>
      </c>
      <c r="W10" s="37"/>
      <c r="X10" s="36">
        <f t="shared" si="16"/>
        <v>0.94811389483050157</v>
      </c>
      <c r="Y10" s="36"/>
      <c r="Z10" s="6">
        <f t="shared" si="13"/>
        <v>38.347667078793961</v>
      </c>
      <c r="AA10" s="6">
        <f t="shared" si="13"/>
        <v>0.95869167696984903</v>
      </c>
      <c r="AB10" s="6">
        <f t="shared" si="3"/>
        <v>37.924555793220065</v>
      </c>
      <c r="AC10" s="6">
        <f t="shared" si="4"/>
        <v>0.94811389483050157</v>
      </c>
      <c r="AD10" s="36"/>
      <c r="AE10" s="6">
        <f t="shared" si="5"/>
        <v>0</v>
      </c>
      <c r="AF10" s="6">
        <f t="shared" si="6"/>
        <v>0</v>
      </c>
      <c r="AG10" s="6">
        <f t="shared" si="6"/>
        <v>-47.405694741525082</v>
      </c>
      <c r="AH10" s="6">
        <f t="shared" si="14"/>
        <v>-1057.7782139347448</v>
      </c>
      <c r="AI10" s="6">
        <f t="shared" si="15"/>
        <v>-1105.18390867627</v>
      </c>
      <c r="AJ10" s="6">
        <f t="shared" si="17"/>
        <v>0.387689791601592</v>
      </c>
      <c r="AK10" s="6">
        <f t="shared" si="18"/>
        <v>1.1673988550461851</v>
      </c>
      <c r="AL10" s="6">
        <f t="shared" si="7"/>
        <v>-1103.6288200296221</v>
      </c>
      <c r="AM10" s="6">
        <f t="shared" si="8"/>
        <v>1.0577782139347458E-2</v>
      </c>
      <c r="AN10" s="6">
        <f t="shared" si="9"/>
        <v>-1103.6182422474828</v>
      </c>
      <c r="AR10" s="126">
        <f t="shared" si="19"/>
        <v>2018</v>
      </c>
      <c r="AS10" s="23">
        <f>SUM($AH$5:AH10)</f>
        <v>-5188.6105169498505</v>
      </c>
      <c r="AT10" s="32">
        <f>INDEX('WL Non-Smoker Mortality Exp'!$A$25:$U$45,MATCH('Whole Life Non-Smoker W Inter'!AR10,'WL Non-Smoker Mortality Exp'!$A$25:$A$45,0),MATCH('Whole Life Non-Smoker W Inter'!$E$4,'WL Non-Smoker Mortality Exp'!$A$25:$U$25,0))</f>
        <v>144</v>
      </c>
      <c r="AU10" s="23"/>
      <c r="AV10" s="32"/>
      <c r="AW10" s="32"/>
      <c r="AX10" s="23"/>
    </row>
    <row r="11" spans="1:51" x14ac:dyDescent="0.15">
      <c r="A11" s="15"/>
      <c r="B11" s="17" t="s">
        <v>53</v>
      </c>
      <c r="C11" s="80">
        <v>0.06</v>
      </c>
      <c r="D11" s="2"/>
      <c r="E11" s="101">
        <f>VLOOKUP(E4,F111:N131,3,FALSE)</f>
        <v>100000</v>
      </c>
      <c r="F11" s="20"/>
      <c r="G11" s="2"/>
      <c r="H11" s="2"/>
      <c r="I11" s="14">
        <f t="shared" si="10"/>
        <v>71</v>
      </c>
      <c r="J11" s="3">
        <f t="shared" si="11"/>
        <v>7</v>
      </c>
      <c r="K11" s="13"/>
      <c r="L11" s="13"/>
      <c r="M11" s="26">
        <v>50</v>
      </c>
      <c r="N11" s="13">
        <f t="shared" si="0"/>
        <v>100000</v>
      </c>
      <c r="O11" s="30">
        <v>0.3</v>
      </c>
      <c r="P11" s="39">
        <f t="shared" si="1"/>
        <v>30</v>
      </c>
      <c r="Q11" s="39">
        <f t="shared" si="2"/>
        <v>1</v>
      </c>
      <c r="R11" s="30"/>
      <c r="S11" s="43">
        <f>IFERROR(VLOOKUP(I11,'Mortality Table Latest'!$A$3:$E$123,4,FALSE)*1000*(1-$B$41),1)</f>
        <v>9.0031200000000009</v>
      </c>
      <c r="T11" s="33"/>
      <c r="U11" s="37">
        <f t="shared" si="12"/>
        <v>0.94811389483050157</v>
      </c>
      <c r="V11" s="37">
        <f t="shared" si="20"/>
        <v>8.5359831688263856E-3</v>
      </c>
      <c r="W11" s="37"/>
      <c r="X11" s="36">
        <f t="shared" si="16"/>
        <v>0.93957791166167515</v>
      </c>
      <c r="Y11" s="36"/>
      <c r="Z11" s="6">
        <f t="shared" si="13"/>
        <v>37.924555793220065</v>
      </c>
      <c r="AA11" s="6">
        <f t="shared" si="13"/>
        <v>0.94811389483050157</v>
      </c>
      <c r="AB11" s="6">
        <f t="shared" si="3"/>
        <v>28.187337349850253</v>
      </c>
      <c r="AC11" s="6">
        <f t="shared" si="4"/>
        <v>0.93957791166167515</v>
      </c>
      <c r="AD11" s="36"/>
      <c r="AE11" s="6">
        <f t="shared" si="5"/>
        <v>0</v>
      </c>
      <c r="AF11" s="6">
        <f t="shared" si="6"/>
        <v>0</v>
      </c>
      <c r="AG11" s="6">
        <f t="shared" si="6"/>
        <v>-46.978895583083755</v>
      </c>
      <c r="AH11" s="6">
        <f t="shared" si="14"/>
        <v>-853.59831688263853</v>
      </c>
      <c r="AI11" s="6">
        <f t="shared" si="15"/>
        <v>-900.57721246572225</v>
      </c>
      <c r="AJ11" s="6">
        <f t="shared" si="17"/>
        <v>9.9042502338789138</v>
      </c>
      <c r="AK11" s="6">
        <f t="shared" si="18"/>
        <v>1.1545182897351018</v>
      </c>
      <c r="AL11" s="6">
        <f>SUM(AI11:AK11)</f>
        <v>-889.51844394210832</v>
      </c>
      <c r="AM11" s="6">
        <f t="shared" si="8"/>
        <v>8.5359831688264221E-3</v>
      </c>
      <c r="AN11" s="6">
        <f t="shared" si="9"/>
        <v>-889.50990795893949</v>
      </c>
      <c r="AR11" s="126">
        <f t="shared" si="19"/>
        <v>2017</v>
      </c>
      <c r="AS11" s="23">
        <f>SUM($AH$5:AH11)</f>
        <v>-6042.2088338324893</v>
      </c>
      <c r="AT11" s="32">
        <f>INDEX('WL Non-Smoker Mortality Exp'!$A$25:$U$45,MATCH('Whole Life Non-Smoker W Inter'!AR11,'WL Non-Smoker Mortality Exp'!$A$25:$A$45,0),MATCH('Whole Life Non-Smoker W Inter'!$E$4,'WL Non-Smoker Mortality Exp'!$A$25:$U$25,0))</f>
        <v>131</v>
      </c>
      <c r="AU11" s="23"/>
      <c r="AV11" s="32"/>
      <c r="AW11" s="32"/>
      <c r="AX11" s="23"/>
    </row>
    <row r="12" spans="1:51" x14ac:dyDescent="0.15">
      <c r="A12" s="15"/>
      <c r="B12" s="17" t="s">
        <v>54</v>
      </c>
      <c r="C12" s="80">
        <v>0.05</v>
      </c>
      <c r="D12" s="2"/>
      <c r="E12" s="2"/>
      <c r="F12" s="2"/>
      <c r="G12" s="2"/>
      <c r="H12" s="2"/>
      <c r="I12" s="14">
        <f t="shared" si="10"/>
        <v>72</v>
      </c>
      <c r="J12" s="3">
        <f t="shared" si="11"/>
        <v>8</v>
      </c>
      <c r="K12" s="13"/>
      <c r="L12" s="13"/>
      <c r="M12" s="26">
        <v>50</v>
      </c>
      <c r="N12" s="13">
        <f t="shared" si="0"/>
        <v>100000</v>
      </c>
      <c r="O12" s="30">
        <v>0.2</v>
      </c>
      <c r="P12" s="39">
        <f t="shared" si="1"/>
        <v>20</v>
      </c>
      <c r="Q12" s="39">
        <f t="shared" si="2"/>
        <v>1</v>
      </c>
      <c r="R12" s="30"/>
      <c r="S12" s="43">
        <f>IFERROR(VLOOKUP(I12,'Mortality Table Latest'!$A$3:$E$123,4,FALSE)*1000*(1-$B$41),1)</f>
        <v>10.007760000000001</v>
      </c>
      <c r="T12" s="33"/>
      <c r="U12" s="37">
        <f t="shared" si="12"/>
        <v>0.93957791166167515</v>
      </c>
      <c r="V12" s="37">
        <f t="shared" si="20"/>
        <v>9.4030702412112484E-3</v>
      </c>
      <c r="W12" s="37"/>
      <c r="X12" s="36">
        <f t="shared" si="16"/>
        <v>0.93017484142046392</v>
      </c>
      <c r="Y12" s="36"/>
      <c r="Z12" s="6">
        <f t="shared" si="13"/>
        <v>28.187337349850253</v>
      </c>
      <c r="AA12" s="6">
        <f t="shared" si="13"/>
        <v>0.93957791166167515</v>
      </c>
      <c r="AB12" s="6">
        <f t="shared" si="3"/>
        <v>18.603496828409277</v>
      </c>
      <c r="AC12" s="6">
        <f t="shared" si="4"/>
        <v>0.93017484142046392</v>
      </c>
      <c r="AD12" s="36"/>
      <c r="AE12" s="6">
        <f t="shared" si="5"/>
        <v>0</v>
      </c>
      <c r="AF12" s="6">
        <f t="shared" si="6"/>
        <v>0</v>
      </c>
      <c r="AG12" s="6">
        <f t="shared" si="6"/>
        <v>-46.508742071023192</v>
      </c>
      <c r="AH12" s="6">
        <f t="shared" si="14"/>
        <v>-940.30702412112487</v>
      </c>
      <c r="AI12" s="6">
        <f t="shared" si="15"/>
        <v>-986.81576619214809</v>
      </c>
      <c r="AJ12" s="6">
        <f t="shared" si="17"/>
        <v>9.6518586116815435</v>
      </c>
      <c r="AK12" s="6">
        <f t="shared" si="18"/>
        <v>0.8650693832669043</v>
      </c>
      <c r="AL12" s="6">
        <f t="shared" si="7"/>
        <v>-976.29883819719964</v>
      </c>
      <c r="AM12" s="6">
        <f t="shared" si="8"/>
        <v>9.403070241211231E-3</v>
      </c>
      <c r="AN12" s="6">
        <f>AL12+AM12</f>
        <v>-976.28943512695844</v>
      </c>
      <c r="AR12" s="126">
        <f t="shared" si="19"/>
        <v>2016</v>
      </c>
      <c r="AS12" s="23">
        <f>SUM($AH$5:AH12)</f>
        <v>-6982.5158579536146</v>
      </c>
      <c r="AT12" s="32">
        <f>INDEX('WL Non-Smoker Mortality Exp'!$A$25:$U$45,MATCH('Whole Life Non-Smoker W Inter'!AR12,'WL Non-Smoker Mortality Exp'!$A$25:$A$45,0),MATCH('Whole Life Non-Smoker W Inter'!$E$4,'WL Non-Smoker Mortality Exp'!$A$25:$U$25,0))</f>
        <v>111</v>
      </c>
      <c r="AU12" s="23"/>
      <c r="AV12" s="32"/>
      <c r="AW12" s="32"/>
      <c r="AX12" s="23"/>
    </row>
    <row r="13" spans="1:51" x14ac:dyDescent="0.15">
      <c r="A13" s="15"/>
      <c r="B13" s="16" t="s">
        <v>55</v>
      </c>
      <c r="C13" s="80">
        <v>0.04</v>
      </c>
      <c r="D13" s="2"/>
      <c r="E13" s="2"/>
      <c r="F13" s="2"/>
      <c r="G13" s="2"/>
      <c r="H13" s="2"/>
      <c r="I13" s="14">
        <f t="shared" si="10"/>
        <v>73</v>
      </c>
      <c r="J13" s="3">
        <f t="shared" si="11"/>
        <v>9</v>
      </c>
      <c r="K13" s="13"/>
      <c r="L13" s="13"/>
      <c r="M13" s="26">
        <v>50</v>
      </c>
      <c r="N13" s="13">
        <f t="shared" si="0"/>
        <v>100000</v>
      </c>
      <c r="O13" s="30">
        <v>0.1</v>
      </c>
      <c r="P13" s="39">
        <f t="shared" si="1"/>
        <v>10</v>
      </c>
      <c r="Q13" s="39">
        <f t="shared" si="2"/>
        <v>1</v>
      </c>
      <c r="R13" s="30"/>
      <c r="S13" s="43">
        <f>IFERROR(VLOOKUP(I13,'Mortality Table Latest'!$A$3:$E$123,4,FALSE)*1000*(1-$B$41),1)</f>
        <v>11.204680000000002</v>
      </c>
      <c r="T13" s="33"/>
      <c r="U13" s="37">
        <f t="shared" si="12"/>
        <v>0.93017484142046392</v>
      </c>
      <c r="V13" s="37">
        <f t="shared" si="20"/>
        <v>1.0422311442167044E-2</v>
      </c>
      <c r="W13" s="37"/>
      <c r="X13" s="36">
        <f t="shared" si="16"/>
        <v>0.91975252997829682</v>
      </c>
      <c r="Y13" s="36"/>
      <c r="Z13" s="6">
        <f t="shared" si="13"/>
        <v>18.603496828409277</v>
      </c>
      <c r="AA13" s="6">
        <f t="shared" si="13"/>
        <v>0.93017484142046392</v>
      </c>
      <c r="AB13" s="6">
        <f t="shared" si="3"/>
        <v>9.1975252997829688</v>
      </c>
      <c r="AC13" s="6">
        <f t="shared" si="4"/>
        <v>0.91975252997829682</v>
      </c>
      <c r="AD13" s="36"/>
      <c r="AE13" s="6">
        <f t="shared" si="5"/>
        <v>0</v>
      </c>
      <c r="AF13" s="6">
        <f t="shared" si="6"/>
        <v>0</v>
      </c>
      <c r="AG13" s="6">
        <f t="shared" si="6"/>
        <v>-45.987626498914842</v>
      </c>
      <c r="AH13" s="6">
        <f t="shared" si="14"/>
        <v>-1042.2311442167045</v>
      </c>
      <c r="AI13" s="6">
        <f t="shared" si="15"/>
        <v>-1088.2187707156193</v>
      </c>
      <c r="AJ13" s="6">
        <f t="shared" si="17"/>
        <v>9.4898098190288636</v>
      </c>
      <c r="AK13" s="6">
        <f t="shared" si="18"/>
        <v>0.58015004859394326</v>
      </c>
      <c r="AL13" s="6">
        <f t="shared" si="7"/>
        <v>-1078.1488108479966</v>
      </c>
      <c r="AM13" s="6">
        <f t="shared" si="8"/>
        <v>1.0422311442167098E-2</v>
      </c>
      <c r="AN13" s="6">
        <f t="shared" si="9"/>
        <v>-1078.1383885365544</v>
      </c>
      <c r="AR13" s="126">
        <f t="shared" si="19"/>
        <v>2015</v>
      </c>
      <c r="AS13" s="23">
        <f>SUM($AH$5:AH13)</f>
        <v>-8024.7470021703193</v>
      </c>
      <c r="AT13" s="32">
        <f>INDEX('WL Non-Smoker Mortality Exp'!$A$25:$U$45,MATCH('Whole Life Non-Smoker W Inter'!AR13,'WL Non-Smoker Mortality Exp'!$A$25:$A$45,0),MATCH('Whole Life Non-Smoker W Inter'!$E$4,'WL Non-Smoker Mortality Exp'!$A$25:$U$25,0))</f>
        <v>102</v>
      </c>
      <c r="AU13" s="23"/>
      <c r="AV13" s="32"/>
      <c r="AW13" s="32"/>
      <c r="AX13" s="23"/>
      <c r="AY13" s="34"/>
    </row>
    <row r="14" spans="1:51" x14ac:dyDescent="0.15">
      <c r="A14" s="19" t="s">
        <v>56</v>
      </c>
      <c r="B14" s="20"/>
      <c r="C14" s="79"/>
      <c r="D14" s="2"/>
      <c r="E14" s="81" t="s">
        <v>57</v>
      </c>
      <c r="F14" s="16"/>
      <c r="G14" s="16"/>
      <c r="H14" s="22">
        <v>0.01</v>
      </c>
      <c r="I14" s="14">
        <f t="shared" si="10"/>
        <v>74</v>
      </c>
      <c r="J14" s="3">
        <f t="shared" si="11"/>
        <v>10</v>
      </c>
      <c r="K14" s="13"/>
      <c r="L14" s="13"/>
      <c r="M14" s="26">
        <v>50</v>
      </c>
      <c r="N14" s="13">
        <f t="shared" si="0"/>
        <v>100000</v>
      </c>
      <c r="O14" s="30">
        <v>0.1</v>
      </c>
      <c r="P14" s="39">
        <f t="shared" si="1"/>
        <v>10</v>
      </c>
      <c r="Q14" s="39">
        <f t="shared" si="2"/>
        <v>1</v>
      </c>
      <c r="R14" s="30"/>
      <c r="S14" s="43">
        <f>IFERROR(VLOOKUP(I14,'Mortality Table Latest'!$A$3:$E$123,4,FALSE)*1000*(1-$B$41),1)</f>
        <v>12.585599999999999</v>
      </c>
      <c r="T14" s="33"/>
      <c r="U14" s="37">
        <f t="shared" si="12"/>
        <v>0.91975252997829682</v>
      </c>
      <c r="V14" s="37">
        <f t="shared" si="20"/>
        <v>1.1575637441294851E-2</v>
      </c>
      <c r="W14" s="37"/>
      <c r="X14" s="36">
        <f t="shared" si="16"/>
        <v>0.90817689253700196</v>
      </c>
      <c r="Y14" s="36"/>
      <c r="Z14" s="6">
        <f t="shared" si="13"/>
        <v>9.1975252997829688</v>
      </c>
      <c r="AA14" s="6">
        <f t="shared" si="13"/>
        <v>0.91975252997829682</v>
      </c>
      <c r="AB14" s="6">
        <f t="shared" si="3"/>
        <v>9.0817689253700191</v>
      </c>
      <c r="AC14" s="6">
        <f t="shared" si="4"/>
        <v>0.90817689253700196</v>
      </c>
      <c r="AD14" s="36"/>
      <c r="AE14" s="6">
        <f t="shared" si="5"/>
        <v>0</v>
      </c>
      <c r="AF14" s="6">
        <f t="shared" si="6"/>
        <v>0</v>
      </c>
      <c r="AG14" s="6">
        <f t="shared" si="6"/>
        <v>-45.408844626850097</v>
      </c>
      <c r="AH14" s="6">
        <f t="shared" si="14"/>
        <v>-1157.563744129485</v>
      </c>
      <c r="AI14" s="6">
        <f>SUM(AE14:AH14)</f>
        <v>-1202.9725887563352</v>
      </c>
      <c r="AJ14" s="6">
        <f t="shared" si="17"/>
        <v>0.10422311442167126</v>
      </c>
      <c r="AK14" s="6">
        <f t="shared" si="18"/>
        <v>0.30048315154390959</v>
      </c>
      <c r="AL14" s="6">
        <f t="shared" si="7"/>
        <v>-1202.5678824903696</v>
      </c>
      <c r="AM14" s="6">
        <f t="shared" si="8"/>
        <v>1.1575637441294861E-2</v>
      </c>
      <c r="AN14" s="6">
        <f t="shared" si="9"/>
        <v>-1202.5563068529284</v>
      </c>
      <c r="AR14" s="126">
        <f t="shared" si="19"/>
        <v>2014</v>
      </c>
      <c r="AS14" s="23">
        <f>SUM($AH$5:AH14)</f>
        <v>-9182.310746299805</v>
      </c>
      <c r="AT14" s="32">
        <f>INDEX('WL Non-Smoker Mortality Exp'!$A$25:$U$45,MATCH('Whole Life Non-Smoker W Inter'!AR14,'WL Non-Smoker Mortality Exp'!$A$25:$A$45,0),MATCH('Whole Life Non-Smoker W Inter'!$E$4,'WL Non-Smoker Mortality Exp'!$A$25:$U$25,0))</f>
        <v>96</v>
      </c>
      <c r="AU14" s="23"/>
      <c r="AV14" s="32"/>
      <c r="AW14" s="32"/>
      <c r="AX14" s="23"/>
    </row>
    <row r="15" spans="1:51" x14ac:dyDescent="0.15">
      <c r="A15" s="19"/>
      <c r="B15" s="20" t="s">
        <v>50</v>
      </c>
      <c r="C15" s="20" t="s">
        <v>51</v>
      </c>
      <c r="D15" s="2"/>
      <c r="E15" s="2"/>
      <c r="F15" s="2"/>
      <c r="G15" s="2"/>
      <c r="H15" s="2"/>
      <c r="I15" s="14">
        <f t="shared" si="10"/>
        <v>75</v>
      </c>
      <c r="J15" s="3">
        <f t="shared" si="11"/>
        <v>11</v>
      </c>
      <c r="K15" s="13"/>
      <c r="L15" s="13"/>
      <c r="M15" s="26">
        <v>50</v>
      </c>
      <c r="N15" s="13">
        <f t="shared" si="0"/>
        <v>100000</v>
      </c>
      <c r="O15" s="30">
        <v>0.1</v>
      </c>
      <c r="P15" s="39">
        <f t="shared" si="1"/>
        <v>10</v>
      </c>
      <c r="Q15" s="39">
        <f t="shared" si="2"/>
        <v>1</v>
      </c>
      <c r="R15" s="35"/>
      <c r="S15" s="43">
        <f>IFERROR(VLOOKUP(I15,'Mortality Table Latest'!$A$3:$E$123,4,FALSE)*1000*(1-$B$41),1)</f>
        <v>14.170760000000001</v>
      </c>
      <c r="T15" s="33"/>
      <c r="U15" s="37">
        <f t="shared" si="12"/>
        <v>0.90817689253700196</v>
      </c>
      <c r="V15" s="37">
        <f t="shared" si="20"/>
        <v>1.2869556781687648E-2</v>
      </c>
      <c r="W15" s="37"/>
      <c r="X15" s="36">
        <f t="shared" si="16"/>
        <v>0.89530733575531429</v>
      </c>
      <c r="Y15" s="35"/>
      <c r="Z15" s="6">
        <f t="shared" si="13"/>
        <v>9.0817689253700191</v>
      </c>
      <c r="AA15" s="6">
        <f t="shared" si="13"/>
        <v>0.90817689253700196</v>
      </c>
      <c r="AB15" s="6">
        <f t="shared" si="3"/>
        <v>8.9530733575531425</v>
      </c>
      <c r="AC15" s="6">
        <f t="shared" si="4"/>
        <v>0.89530733575531429</v>
      </c>
      <c r="AD15" s="35"/>
      <c r="AE15" s="6">
        <f t="shared" si="5"/>
        <v>0</v>
      </c>
      <c r="AF15" s="6">
        <f t="shared" si="6"/>
        <v>0</v>
      </c>
      <c r="AG15" s="6">
        <f t="shared" si="6"/>
        <v>-44.765366787765714</v>
      </c>
      <c r="AH15" s="6">
        <f t="shared" si="14"/>
        <v>-1286.9556781687647</v>
      </c>
      <c r="AI15" s="6">
        <f t="shared" ref="AI15:AI64" si="21">SUM(AE15:AH15)</f>
        <v>-1331.7210449565305</v>
      </c>
      <c r="AJ15" s="6">
        <f t="shared" si="17"/>
        <v>0.11575637441294806</v>
      </c>
      <c r="AK15" s="6">
        <f t="shared" si="18"/>
        <v>0.29670139079183855</v>
      </c>
      <c r="AL15" s="6">
        <f t="shared" ref="AL15:AL24" si="22">SUM(AI15:AK15)</f>
        <v>-1331.3085871913256</v>
      </c>
      <c r="AM15" s="6">
        <f t="shared" si="8"/>
        <v>1.2869556781687663E-2</v>
      </c>
      <c r="AN15" s="6">
        <f t="shared" si="9"/>
        <v>-1331.295717634544</v>
      </c>
      <c r="AR15" s="126">
        <f t="shared" si="19"/>
        <v>2013</v>
      </c>
      <c r="AS15" s="23">
        <f>SUM($AH$5:AH15)</f>
        <v>-10469.266424468569</v>
      </c>
      <c r="AT15" s="32">
        <f>INDEX('WL Non-Smoker Mortality Exp'!$A$25:$U$45,MATCH('Whole Life Non-Smoker W Inter'!AR15,'WL Non-Smoker Mortality Exp'!$A$25:$A$45,0),MATCH('Whole Life Non-Smoker W Inter'!$E$4,'WL Non-Smoker Mortality Exp'!$A$25:$U$25,0))</f>
        <v>108</v>
      </c>
      <c r="AU15" s="23"/>
      <c r="AV15" s="32"/>
      <c r="AW15" s="32"/>
      <c r="AX15" s="23"/>
    </row>
    <row r="16" spans="1:51" x14ac:dyDescent="0.15">
      <c r="A16" s="19"/>
      <c r="B16" s="20">
        <v>1</v>
      </c>
      <c r="C16" s="85">
        <v>0.1</v>
      </c>
      <c r="D16" s="76" t="s">
        <v>106</v>
      </c>
      <c r="E16" s="2"/>
      <c r="F16" s="2"/>
      <c r="G16" s="5"/>
      <c r="H16" s="2"/>
      <c r="I16" s="14">
        <f t="shared" si="10"/>
        <v>76</v>
      </c>
      <c r="J16" s="3">
        <f t="shared" si="11"/>
        <v>12</v>
      </c>
      <c r="K16" s="13"/>
      <c r="L16" s="13"/>
      <c r="M16" s="26">
        <v>50</v>
      </c>
      <c r="N16" s="13">
        <f t="shared" si="0"/>
        <v>100000</v>
      </c>
      <c r="O16" s="30">
        <v>0.1</v>
      </c>
      <c r="P16" s="39">
        <f t="shared" si="1"/>
        <v>10</v>
      </c>
      <c r="Q16" s="39">
        <f t="shared" si="2"/>
        <v>1</v>
      </c>
      <c r="R16" s="35"/>
      <c r="S16" s="43">
        <f>IFERROR(VLOOKUP(I16,'Mortality Table Latest'!$A$3:$E$123,4,FALSE)*1000*(1-$B$41),1)</f>
        <v>16.002479999999998</v>
      </c>
      <c r="T16" s="33"/>
      <c r="U16" s="37">
        <f t="shared" si="12"/>
        <v>0.89530733575531429</v>
      </c>
      <c r="V16" s="37">
        <f t="shared" si="20"/>
        <v>1.43271377342777E-2</v>
      </c>
      <c r="W16" s="37"/>
      <c r="X16" s="36">
        <f t="shared" si="16"/>
        <v>0.88098019802103655</v>
      </c>
      <c r="Y16" s="35"/>
      <c r="Z16" s="6">
        <f>AB15</f>
        <v>8.9530733575531425</v>
      </c>
      <c r="AA16" s="6">
        <f t="shared" si="13"/>
        <v>0.89530733575531429</v>
      </c>
      <c r="AB16" s="6">
        <f t="shared" si="3"/>
        <v>8.8098019802103664</v>
      </c>
      <c r="AC16" s="6">
        <f t="shared" si="4"/>
        <v>0.88098019802103655</v>
      </c>
      <c r="AD16" s="24"/>
      <c r="AE16" s="6">
        <f t="shared" si="5"/>
        <v>0</v>
      </c>
      <c r="AF16" s="6">
        <f t="shared" si="6"/>
        <v>0</v>
      </c>
      <c r="AG16" s="6">
        <f t="shared" si="6"/>
        <v>-44.049009901051825</v>
      </c>
      <c r="AH16" s="6">
        <f t="shared" si="14"/>
        <v>-1432.7137734277699</v>
      </c>
      <c r="AI16" s="6">
        <f t="shared" si="21"/>
        <v>-1476.7627833288218</v>
      </c>
      <c r="AJ16" s="6">
        <f t="shared" si="17"/>
        <v>0.12869556781687774</v>
      </c>
      <c r="AK16" s="6">
        <f t="shared" si="18"/>
        <v>0.29249690659126115</v>
      </c>
      <c r="AL16" s="6">
        <f t="shared" si="22"/>
        <v>-1476.3415908544137</v>
      </c>
      <c r="AM16" s="6">
        <f t="shared" si="8"/>
        <v>1.432713773427774E-2</v>
      </c>
      <c r="AN16" s="6">
        <f t="shared" si="9"/>
        <v>-1476.3272637166795</v>
      </c>
      <c r="AR16" s="126">
        <f t="shared" si="19"/>
        <v>2012</v>
      </c>
      <c r="AS16" s="23">
        <f>SUM($AH$5:AH16)</f>
        <v>-11901.980197896339</v>
      </c>
      <c r="AT16" s="32">
        <f>INDEX('WL Non-Smoker Mortality Exp'!$A$25:$U$45,MATCH('Whole Life Non-Smoker W Inter'!AR16,'WL Non-Smoker Mortality Exp'!$A$25:$A$45,0),MATCH('Whole Life Non-Smoker W Inter'!$E$4,'WL Non-Smoker Mortality Exp'!$A$25:$U$25,0))</f>
        <v>105</v>
      </c>
      <c r="AU16" s="23"/>
      <c r="AV16" s="32"/>
      <c r="AW16" s="32"/>
      <c r="AX16" s="23"/>
    </row>
    <row r="17" spans="1:50" x14ac:dyDescent="0.15">
      <c r="A17" s="19"/>
      <c r="B17" s="21" t="s">
        <v>59</v>
      </c>
      <c r="C17" s="85">
        <v>0</v>
      </c>
      <c r="D17" s="2"/>
      <c r="E17" s="2"/>
      <c r="F17" s="2"/>
      <c r="G17" s="5"/>
      <c r="H17" s="2"/>
      <c r="I17" s="14">
        <f t="shared" si="10"/>
        <v>77</v>
      </c>
      <c r="J17" s="3">
        <f t="shared" si="11"/>
        <v>13</v>
      </c>
      <c r="K17" s="13"/>
      <c r="L17" s="13"/>
      <c r="M17" s="26">
        <v>50</v>
      </c>
      <c r="N17" s="13">
        <f t="shared" si="0"/>
        <v>100000</v>
      </c>
      <c r="O17" s="30">
        <v>0.1</v>
      </c>
      <c r="P17" s="39">
        <f t="shared" si="1"/>
        <v>10</v>
      </c>
      <c r="Q17" s="39">
        <f t="shared" si="2"/>
        <v>1</v>
      </c>
      <c r="R17" s="35"/>
      <c r="S17" s="43">
        <f>IFERROR(VLOOKUP(I17,'Mortality Table Latest'!$A$3:$E$123,4,FALSE)*1000*(1-$B$41),1)</f>
        <v>18.0504</v>
      </c>
      <c r="T17" s="33"/>
      <c r="U17" s="37">
        <f t="shared" si="12"/>
        <v>0.88098019802103655</v>
      </c>
      <c r="V17" s="37">
        <f t="shared" si="20"/>
        <v>1.5902044966358917E-2</v>
      </c>
      <c r="W17" s="37"/>
      <c r="X17" s="36">
        <f t="shared" si="16"/>
        <v>0.86507815305467761</v>
      </c>
      <c r="Y17" s="35"/>
      <c r="Z17" s="6">
        <f t="shared" si="13"/>
        <v>8.8098019802103664</v>
      </c>
      <c r="AA17" s="6">
        <f t="shared" si="13"/>
        <v>0.88098019802103655</v>
      </c>
      <c r="AB17" s="6">
        <f t="shared" si="3"/>
        <v>8.6507815305467766</v>
      </c>
      <c r="AC17" s="6">
        <f t="shared" si="4"/>
        <v>0.86507815305467761</v>
      </c>
      <c r="AD17" s="25"/>
      <c r="AE17" s="6">
        <f t="shared" si="5"/>
        <v>0</v>
      </c>
      <c r="AF17" s="6">
        <f t="shared" si="6"/>
        <v>0</v>
      </c>
      <c r="AG17" s="6">
        <f t="shared" si="6"/>
        <v>-43.253907652733879</v>
      </c>
      <c r="AH17" s="6">
        <f t="shared" si="14"/>
        <v>-1590.2044966358917</v>
      </c>
      <c r="AI17" s="6">
        <f t="shared" si="21"/>
        <v>-1633.4584042886256</v>
      </c>
      <c r="AJ17" s="6">
        <f t="shared" si="17"/>
        <v>0.14327137734277684</v>
      </c>
      <c r="AK17" s="6">
        <f t="shared" si="18"/>
        <v>0.28781623069347267</v>
      </c>
      <c r="AL17" s="6">
        <f t="shared" si="22"/>
        <v>-1633.0273166805894</v>
      </c>
      <c r="AM17" s="6">
        <f t="shared" si="8"/>
        <v>1.5902044966358941E-2</v>
      </c>
      <c r="AN17" s="6">
        <f t="shared" si="9"/>
        <v>-1633.0114146356229</v>
      </c>
      <c r="AR17" s="126">
        <f t="shared" si="19"/>
        <v>2011</v>
      </c>
      <c r="AS17" s="23">
        <f>SUM($AH$5:AH17)</f>
        <v>-13492.18469453223</v>
      </c>
      <c r="AT17" s="32">
        <f>INDEX('WL Non-Smoker Mortality Exp'!$A$25:$U$45,MATCH('Whole Life Non-Smoker W Inter'!AR17,'WL Non-Smoker Mortality Exp'!$A$25:$A$45,0),MATCH('Whole Life Non-Smoker W Inter'!$E$4,'WL Non-Smoker Mortality Exp'!$A$25:$U$25,0))</f>
        <v>81</v>
      </c>
      <c r="AU17" s="23"/>
      <c r="AV17" s="32"/>
      <c r="AW17" s="32"/>
      <c r="AX17" s="23"/>
    </row>
    <row r="18" spans="1:50" x14ac:dyDescent="0.15">
      <c r="A18" s="15" t="s">
        <v>61</v>
      </c>
      <c r="B18" s="17"/>
      <c r="C18" s="4"/>
      <c r="D18" s="2"/>
      <c r="E18" s="2"/>
      <c r="F18" s="2"/>
      <c r="G18" s="2"/>
      <c r="H18" s="2"/>
      <c r="I18" s="14">
        <f t="shared" si="10"/>
        <v>78</v>
      </c>
      <c r="J18" s="3">
        <f t="shared" si="11"/>
        <v>14</v>
      </c>
      <c r="K18" s="13"/>
      <c r="L18" s="13"/>
      <c r="M18" s="26">
        <v>50</v>
      </c>
      <c r="N18" s="13">
        <f t="shared" si="0"/>
        <v>100000</v>
      </c>
      <c r="O18" s="30">
        <v>0.1</v>
      </c>
      <c r="P18" s="39">
        <f t="shared" si="1"/>
        <v>10</v>
      </c>
      <c r="Q18" s="39">
        <f t="shared" si="2"/>
        <v>1</v>
      </c>
      <c r="R18" s="35"/>
      <c r="S18" s="43">
        <f>IFERROR(VLOOKUP(I18,'Mortality Table Latest'!$A$3:$E$123,4,FALSE)*1000*(1-$B$41),1)</f>
        <v>20.329239999999999</v>
      </c>
      <c r="T18" s="33"/>
      <c r="U18" s="37">
        <f t="shared" si="12"/>
        <v>0.86507815305467761</v>
      </c>
      <c r="V18" s="37">
        <f t="shared" si="20"/>
        <v>1.7586381392205273E-2</v>
      </c>
      <c r="W18" s="37"/>
      <c r="X18" s="36">
        <f t="shared" si="16"/>
        <v>0.84749177166247236</v>
      </c>
      <c r="Y18" s="35"/>
      <c r="Z18" s="6">
        <f t="shared" si="13"/>
        <v>8.6507815305467766</v>
      </c>
      <c r="AA18" s="6">
        <f t="shared" si="13"/>
        <v>0.86507815305467761</v>
      </c>
      <c r="AB18" s="6">
        <f t="shared" si="3"/>
        <v>8.4749177166247236</v>
      </c>
      <c r="AC18" s="6">
        <f t="shared" si="4"/>
        <v>0.84749177166247236</v>
      </c>
      <c r="AD18" s="24"/>
      <c r="AE18" s="6">
        <f t="shared" si="5"/>
        <v>0</v>
      </c>
      <c r="AF18" s="6">
        <f t="shared" si="6"/>
        <v>0</v>
      </c>
      <c r="AG18" s="6">
        <f t="shared" si="6"/>
        <v>-42.374588583123618</v>
      </c>
      <c r="AH18" s="6">
        <f t="shared" si="14"/>
        <v>-1758.6381392205274</v>
      </c>
      <c r="AI18" s="6">
        <f t="shared" si="21"/>
        <v>-1801.0127278036509</v>
      </c>
      <c r="AJ18" s="6">
        <f t="shared" si="17"/>
        <v>0.15902044966358969</v>
      </c>
      <c r="AK18" s="6">
        <f t="shared" si="18"/>
        <v>0.28262103260296317</v>
      </c>
      <c r="AL18" s="6">
        <f t="shared" si="22"/>
        <v>-1800.5710863213844</v>
      </c>
      <c r="AM18" s="6">
        <f t="shared" si="8"/>
        <v>1.7586381392205253E-2</v>
      </c>
      <c r="AN18" s="6">
        <f t="shared" si="9"/>
        <v>-1800.5534999399922</v>
      </c>
      <c r="AR18" s="126">
        <f t="shared" si="19"/>
        <v>2010</v>
      </c>
      <c r="AS18" s="23">
        <f>SUM($AH$5:AH18)</f>
        <v>-15250.822833752758</v>
      </c>
      <c r="AT18" s="32">
        <f>INDEX('WL Non-Smoker Mortality Exp'!$A$25:$U$45,MATCH('Whole Life Non-Smoker W Inter'!AR18,'WL Non-Smoker Mortality Exp'!$A$25:$A$45,0),MATCH('Whole Life Non-Smoker W Inter'!$E$4,'WL Non-Smoker Mortality Exp'!$A$25:$U$25,0))</f>
        <v>70</v>
      </c>
      <c r="AU18" s="23"/>
      <c r="AV18" s="32"/>
      <c r="AW18" s="32"/>
      <c r="AX18" s="23"/>
    </row>
    <row r="19" spans="1:50" x14ac:dyDescent="0.15">
      <c r="A19" s="15"/>
      <c r="B19" s="16" t="s">
        <v>50</v>
      </c>
      <c r="C19" s="16" t="s">
        <v>51</v>
      </c>
      <c r="D19" s="2"/>
      <c r="E19" s="2"/>
      <c r="F19" s="2"/>
      <c r="G19" s="5"/>
      <c r="H19" s="5"/>
      <c r="I19" s="14">
        <f t="shared" si="10"/>
        <v>79</v>
      </c>
      <c r="J19" s="3">
        <f t="shared" si="11"/>
        <v>15</v>
      </c>
      <c r="K19" s="13"/>
      <c r="L19" s="13"/>
      <c r="M19" s="26">
        <v>50</v>
      </c>
      <c r="N19" s="13">
        <f t="shared" si="0"/>
        <v>100000</v>
      </c>
      <c r="O19" s="30">
        <v>0.1</v>
      </c>
      <c r="P19" s="39">
        <f t="shared" si="1"/>
        <v>10</v>
      </c>
      <c r="Q19" s="39">
        <f t="shared" si="2"/>
        <v>1</v>
      </c>
      <c r="R19" s="35"/>
      <c r="S19" s="43">
        <f>IFERROR(VLOOKUP(I19,'Mortality Table Latest'!$A$3:$E$123,4,FALSE)*1000*(1-$B$41),1)</f>
        <v>22.816000000000003</v>
      </c>
      <c r="T19" s="33"/>
      <c r="U19" s="37">
        <f t="shared" si="12"/>
        <v>0.84749177166247236</v>
      </c>
      <c r="V19" s="37">
        <f t="shared" si="20"/>
        <v>1.9336372262250972E-2</v>
      </c>
      <c r="W19" s="37"/>
      <c r="X19" s="36">
        <f t="shared" si="16"/>
        <v>0.82815539940022143</v>
      </c>
      <c r="Y19" s="35"/>
      <c r="Z19" s="6">
        <f t="shared" si="13"/>
        <v>8.4749177166247236</v>
      </c>
      <c r="AA19" s="6">
        <f t="shared" si="13"/>
        <v>0.84749177166247236</v>
      </c>
      <c r="AB19" s="6">
        <f t="shared" si="3"/>
        <v>8.2815539940022145</v>
      </c>
      <c r="AC19" s="6">
        <f t="shared" si="4"/>
        <v>0.82815539940022143</v>
      </c>
      <c r="AE19" s="6">
        <f t="shared" si="5"/>
        <v>0</v>
      </c>
      <c r="AF19" s="6">
        <f t="shared" si="6"/>
        <v>0</v>
      </c>
      <c r="AG19" s="6">
        <f t="shared" si="6"/>
        <v>-41.407769970011074</v>
      </c>
      <c r="AH19" s="6">
        <f t="shared" si="14"/>
        <v>-1933.6372262250973</v>
      </c>
      <c r="AI19" s="6">
        <f t="shared" si="21"/>
        <v>-1975.0449961951083</v>
      </c>
      <c r="AJ19" s="6">
        <f t="shared" si="17"/>
        <v>0.17586381392205169</v>
      </c>
      <c r="AK19" s="6">
        <f t="shared" si="18"/>
        <v>0.27687556180212974</v>
      </c>
      <c r="AL19" s="6">
        <f t="shared" si="22"/>
        <v>-1974.5922568193841</v>
      </c>
      <c r="AM19" s="6">
        <f t="shared" si="8"/>
        <v>1.9336372262250934E-2</v>
      </c>
      <c r="AN19" s="6">
        <f t="shared" si="9"/>
        <v>-1974.572920447122</v>
      </c>
      <c r="AR19" s="126">
        <f t="shared" si="19"/>
        <v>2009</v>
      </c>
      <c r="AS19" s="23">
        <f>SUM($AH$5:AH19)</f>
        <v>-17184.460059977857</v>
      </c>
      <c r="AT19" s="32">
        <f>INDEX('WL Non-Smoker Mortality Exp'!$A$25:$U$45,MATCH('Whole Life Non-Smoker W Inter'!AR19,'WL Non-Smoker Mortality Exp'!$A$25:$A$45,0),MATCH('Whole Life Non-Smoker W Inter'!$E$4,'WL Non-Smoker Mortality Exp'!$A$25:$U$25,0))</f>
        <v>69</v>
      </c>
      <c r="AU19" s="23"/>
      <c r="AV19" s="32"/>
      <c r="AW19" s="32"/>
      <c r="AX19" s="23"/>
    </row>
    <row r="20" spans="1:50" x14ac:dyDescent="0.15">
      <c r="A20" s="15"/>
      <c r="B20" s="16">
        <v>1</v>
      </c>
      <c r="C20" s="12">
        <v>100</v>
      </c>
      <c r="D20" s="2"/>
      <c r="E20" s="2"/>
      <c r="F20" s="2"/>
      <c r="G20" s="2"/>
      <c r="H20" s="2"/>
      <c r="I20" s="14">
        <f t="shared" si="10"/>
        <v>80</v>
      </c>
      <c r="J20" s="3">
        <f t="shared" si="11"/>
        <v>16</v>
      </c>
      <c r="K20" s="13"/>
      <c r="L20" s="13"/>
      <c r="M20" s="26">
        <v>50</v>
      </c>
      <c r="N20" s="13">
        <f t="shared" si="0"/>
        <v>100000</v>
      </c>
      <c r="O20" s="30">
        <v>0.1</v>
      </c>
      <c r="P20" s="39">
        <f t="shared" si="1"/>
        <v>10</v>
      </c>
      <c r="Q20" s="39">
        <f t="shared" si="2"/>
        <v>1</v>
      </c>
      <c r="R20" s="35"/>
      <c r="S20" s="43">
        <f>IFERROR(VLOOKUP(I20,'Mortality Table Latest'!$A$3:$E$123,4,FALSE)*1000*(1-$B$41),1)</f>
        <v>25.550240000000002</v>
      </c>
      <c r="T20" s="33"/>
      <c r="U20" s="37">
        <f t="shared" si="12"/>
        <v>0.82815539940022143</v>
      </c>
      <c r="V20" s="37">
        <f t="shared" si="20"/>
        <v>2.1159569211971516E-2</v>
      </c>
      <c r="W20" s="37"/>
      <c r="X20" s="36">
        <f t="shared" si="16"/>
        <v>0.80699583018824994</v>
      </c>
      <c r="Y20" s="35"/>
      <c r="Z20" s="6">
        <f t="shared" si="13"/>
        <v>8.2815539940022145</v>
      </c>
      <c r="AA20" s="6">
        <f t="shared" si="13"/>
        <v>0.82815539940022143</v>
      </c>
      <c r="AB20" s="6">
        <f t="shared" si="3"/>
        <v>8.0699583018824992</v>
      </c>
      <c r="AC20" s="6">
        <f t="shared" si="4"/>
        <v>0.80699583018824994</v>
      </c>
      <c r="AD20" s="24"/>
      <c r="AE20" s="6">
        <f t="shared" si="5"/>
        <v>0</v>
      </c>
      <c r="AF20" s="6">
        <f t="shared" si="6"/>
        <v>0</v>
      </c>
      <c r="AG20" s="6">
        <f t="shared" si="6"/>
        <v>-40.349791509412498</v>
      </c>
      <c r="AH20" s="6">
        <f t="shared" si="14"/>
        <v>-2115.9569211971516</v>
      </c>
      <c r="AI20" s="6">
        <f t="shared" si="21"/>
        <v>-2156.3067127065642</v>
      </c>
      <c r="AJ20" s="6">
        <f t="shared" si="17"/>
        <v>0.19336372262250962</v>
      </c>
      <c r="AK20" s="6">
        <f t="shared" si="18"/>
        <v>0.27055836898405239</v>
      </c>
      <c r="AL20" s="6">
        <f t="shared" si="22"/>
        <v>-2155.8427906149577</v>
      </c>
      <c r="AM20" s="6">
        <f t="shared" si="8"/>
        <v>2.1159569211971485E-2</v>
      </c>
      <c r="AN20" s="6">
        <f t="shared" si="9"/>
        <v>-2155.8216310457456</v>
      </c>
      <c r="AR20" s="126">
        <f t="shared" si="19"/>
        <v>2008</v>
      </c>
      <c r="AS20" s="23">
        <f>SUM($AH$5:AH20)</f>
        <v>-19300.416981175007</v>
      </c>
      <c r="AT20" s="32">
        <f>INDEX('WL Non-Smoker Mortality Exp'!$A$25:$U$45,MATCH('Whole Life Non-Smoker W Inter'!AR20,'WL Non-Smoker Mortality Exp'!$A$25:$A$45,0),MATCH('Whole Life Non-Smoker W Inter'!$E$4,'WL Non-Smoker Mortality Exp'!$A$25:$U$25,0))</f>
        <v>54</v>
      </c>
      <c r="AU20" s="23"/>
      <c r="AV20" s="32"/>
      <c r="AW20" s="32"/>
      <c r="AX20" s="23"/>
    </row>
    <row r="21" spans="1:50" x14ac:dyDescent="0.15">
      <c r="A21" s="15"/>
      <c r="B21" s="17" t="s">
        <v>59</v>
      </c>
      <c r="C21" s="12">
        <v>50</v>
      </c>
      <c r="D21" s="2"/>
      <c r="E21" s="2"/>
      <c r="F21" s="18"/>
      <c r="G21" s="5"/>
      <c r="H21" s="5"/>
      <c r="I21" s="14">
        <f t="shared" si="10"/>
        <v>81</v>
      </c>
      <c r="J21" s="3">
        <f t="shared" si="11"/>
        <v>17</v>
      </c>
      <c r="K21" s="13"/>
      <c r="L21" s="13"/>
      <c r="M21" s="26">
        <v>50</v>
      </c>
      <c r="N21" s="13">
        <f t="shared" si="0"/>
        <v>100000</v>
      </c>
      <c r="O21" s="30">
        <v>0.1</v>
      </c>
      <c r="P21" s="39">
        <f t="shared" si="1"/>
        <v>10</v>
      </c>
      <c r="Q21" s="39">
        <f t="shared" si="2"/>
        <v>1</v>
      </c>
      <c r="R21" s="35"/>
      <c r="S21" s="43">
        <f>IFERROR(VLOOKUP(I21,'Mortality Table Latest'!$A$3:$E$123,4,FALSE)*1000*(1-$B$41),1)</f>
        <v>28.626720000000002</v>
      </c>
      <c r="T21" s="33"/>
      <c r="U21" s="37">
        <f t="shared" si="12"/>
        <v>0.80699583018824994</v>
      </c>
      <c r="V21" s="37">
        <f t="shared" si="20"/>
        <v>2.3101643671966581E-2</v>
      </c>
      <c r="W21" s="37"/>
      <c r="X21" s="36">
        <f t="shared" si="16"/>
        <v>0.7838941865162834</v>
      </c>
      <c r="Y21" s="35"/>
      <c r="Z21" s="6">
        <f t="shared" si="13"/>
        <v>8.0699583018824992</v>
      </c>
      <c r="AA21" s="6">
        <f t="shared" si="13"/>
        <v>0.80699583018824994</v>
      </c>
      <c r="AB21" s="6">
        <f t="shared" si="3"/>
        <v>7.838941865162834</v>
      </c>
      <c r="AC21" s="6">
        <f t="shared" si="4"/>
        <v>0.7838941865162834</v>
      </c>
      <c r="AD21" s="35"/>
      <c r="AE21" s="6">
        <f t="shared" si="5"/>
        <v>0</v>
      </c>
      <c r="AF21" s="6">
        <f t="shared" ref="AF21:AG24" si="23">-$X21*L21</f>
        <v>0</v>
      </c>
      <c r="AG21" s="6">
        <f t="shared" si="23"/>
        <v>-39.194709325814173</v>
      </c>
      <c r="AH21" s="6">
        <f t="shared" si="14"/>
        <v>-2310.1643671966581</v>
      </c>
      <c r="AI21" s="6">
        <f t="shared" si="21"/>
        <v>-2349.3590765224722</v>
      </c>
      <c r="AJ21" s="6">
        <f t="shared" si="17"/>
        <v>0.21159569211971485</v>
      </c>
      <c r="AK21" s="6">
        <f t="shared" si="18"/>
        <v>0.26364553772250127</v>
      </c>
      <c r="AL21" s="6">
        <f t="shared" si="22"/>
        <v>-2348.88383529263</v>
      </c>
      <c r="AM21" s="6">
        <f t="shared" si="8"/>
        <v>2.3101643671966543E-2</v>
      </c>
      <c r="AN21" s="6">
        <f t="shared" si="9"/>
        <v>-2348.8607336489581</v>
      </c>
      <c r="AR21" s="126">
        <f t="shared" si="19"/>
        <v>2007</v>
      </c>
      <c r="AS21" s="23">
        <f>SUM($AH$5:AH21)</f>
        <v>-21610.581348371667</v>
      </c>
      <c r="AT21" s="32">
        <f>INDEX('WL Non-Smoker Mortality Exp'!$A$25:$U$45,MATCH('Whole Life Non-Smoker W Inter'!AR21,'WL Non-Smoker Mortality Exp'!$A$25:$A$45,0),MATCH('Whole Life Non-Smoker W Inter'!$E$4,'WL Non-Smoker Mortality Exp'!$A$25:$U$25,0))</f>
        <v>47</v>
      </c>
      <c r="AU21" s="23"/>
      <c r="AV21" s="32"/>
      <c r="AW21" s="32"/>
      <c r="AX21" s="23"/>
    </row>
    <row r="22" spans="1:50" x14ac:dyDescent="0.15">
      <c r="A22" t="s">
        <v>63</v>
      </c>
      <c r="B22" s="48">
        <v>2.52E-2</v>
      </c>
      <c r="C22" s="10"/>
      <c r="F22" s="3"/>
      <c r="G22" s="10"/>
      <c r="I22" s="14">
        <f t="shared" si="10"/>
        <v>82</v>
      </c>
      <c r="J22" s="3">
        <f t="shared" si="11"/>
        <v>18</v>
      </c>
      <c r="K22" s="13"/>
      <c r="L22" s="13"/>
      <c r="M22" s="26">
        <v>50</v>
      </c>
      <c r="N22" s="13">
        <f t="shared" si="0"/>
        <v>100000</v>
      </c>
      <c r="O22" s="30">
        <v>0.1</v>
      </c>
      <c r="P22" s="39">
        <f t="shared" si="1"/>
        <v>10</v>
      </c>
      <c r="Q22" s="39">
        <f t="shared" si="2"/>
        <v>1</v>
      </c>
      <c r="R22" s="35"/>
      <c r="S22" s="43">
        <f>IFERROR(VLOOKUP(I22,'Mortality Table Latest'!$A$3:$E$123,4,FALSE)*1000*(1-$B$41),1)</f>
        <v>32.083160000000007</v>
      </c>
      <c r="T22" s="33"/>
      <c r="U22" s="37">
        <f t="shared" si="12"/>
        <v>0.7838941865162834</v>
      </c>
      <c r="V22" s="37">
        <f t="shared" si="20"/>
        <v>2.5149802609071768E-2</v>
      </c>
      <c r="W22" s="37"/>
      <c r="X22" s="36">
        <f t="shared" si="16"/>
        <v>0.75874438390721166</v>
      </c>
      <c r="Y22" s="35"/>
      <c r="Z22" s="6">
        <f t="shared" ref="Z22:AA37" si="24">AB21</f>
        <v>7.838941865162834</v>
      </c>
      <c r="AA22" s="6">
        <f t="shared" si="24"/>
        <v>0.7838941865162834</v>
      </c>
      <c r="AB22" s="6">
        <f t="shared" si="3"/>
        <v>7.5874438390721171</v>
      </c>
      <c r="AC22" s="6">
        <f t="shared" si="4"/>
        <v>0.75874438390721166</v>
      </c>
      <c r="AE22" s="6">
        <f t="shared" si="5"/>
        <v>0</v>
      </c>
      <c r="AF22" s="6">
        <f t="shared" si="23"/>
        <v>0</v>
      </c>
      <c r="AG22" s="6">
        <f t="shared" si="23"/>
        <v>-37.937219195360584</v>
      </c>
      <c r="AH22" s="6">
        <f t="shared" si="14"/>
        <v>-2514.9802609071767</v>
      </c>
      <c r="AI22" s="6">
        <f t="shared" si="21"/>
        <v>-2552.9174801025374</v>
      </c>
      <c r="AJ22" s="6">
        <f t="shared" si="17"/>
        <v>0.23101643671966515</v>
      </c>
      <c r="AK22" s="6">
        <f t="shared" si="18"/>
        <v>0.25609823073486981</v>
      </c>
      <c r="AL22" s="6">
        <f t="shared" si="22"/>
        <v>-2552.4303654350829</v>
      </c>
      <c r="AM22" s="6">
        <f t="shared" si="8"/>
        <v>2.5149802609071736E-2</v>
      </c>
      <c r="AN22" s="6">
        <f t="shared" si="9"/>
        <v>-2552.4052156324738</v>
      </c>
      <c r="AR22" s="126">
        <f t="shared" si="19"/>
        <v>2006</v>
      </c>
      <c r="AS22" s="23">
        <f>SUM($AH$5:AH22)</f>
        <v>-24125.561609278844</v>
      </c>
      <c r="AT22" s="32">
        <f>INDEX('WL Non-Smoker Mortality Exp'!$A$25:$U$45,MATCH('Whole Life Non-Smoker W Inter'!AR22,'WL Non-Smoker Mortality Exp'!$A$25:$A$45,0),MATCH('Whole Life Non-Smoker W Inter'!$E$4,'WL Non-Smoker Mortality Exp'!$A$25:$U$25,0))</f>
        <v>39</v>
      </c>
      <c r="AU22" s="23"/>
      <c r="AV22" s="32"/>
      <c r="AW22" s="32"/>
      <c r="AX22" s="23"/>
    </row>
    <row r="23" spans="1:50" x14ac:dyDescent="0.15">
      <c r="B23" s="3"/>
      <c r="C23" s="10"/>
      <c r="F23" s="3"/>
      <c r="G23" s="10"/>
      <c r="I23" s="14">
        <f t="shared" si="10"/>
        <v>83</v>
      </c>
      <c r="J23" s="3">
        <f t="shared" si="11"/>
        <v>19</v>
      </c>
      <c r="K23" s="13"/>
      <c r="L23" s="13"/>
      <c r="M23" s="26">
        <v>50</v>
      </c>
      <c r="N23" s="13">
        <f t="shared" si="0"/>
        <v>100000</v>
      </c>
      <c r="O23" s="30">
        <v>0.1</v>
      </c>
      <c r="P23" s="39">
        <f t="shared" si="1"/>
        <v>10</v>
      </c>
      <c r="Q23" s="39">
        <f t="shared" si="2"/>
        <v>1</v>
      </c>
      <c r="R23" s="35"/>
      <c r="S23" s="43">
        <f>IFERROR(VLOOKUP(I23,'Mortality Table Latest'!$A$3:$E$123,4,FALSE)*1000*(1-$B$41),1)</f>
        <v>35.981200000000001</v>
      </c>
      <c r="T23" s="33"/>
      <c r="U23" s="37">
        <f t="shared" si="12"/>
        <v>0.75874438390721166</v>
      </c>
      <c r="V23" s="37">
        <f t="shared" si="20"/>
        <v>2.7300533426242165E-2</v>
      </c>
      <c r="W23" s="37"/>
      <c r="X23" s="36">
        <f t="shared" si="16"/>
        <v>0.73144385048096949</v>
      </c>
      <c r="Y23" s="35"/>
      <c r="Z23" s="6">
        <f t="shared" si="24"/>
        <v>7.5874438390721171</v>
      </c>
      <c r="AA23" s="6">
        <f t="shared" si="24"/>
        <v>0.75874438390721166</v>
      </c>
      <c r="AB23" s="6">
        <f t="shared" si="3"/>
        <v>7.3144385048096954</v>
      </c>
      <c r="AC23" s="6">
        <f t="shared" si="4"/>
        <v>0.73144385048096949</v>
      </c>
      <c r="AE23" s="6">
        <f t="shared" si="5"/>
        <v>0</v>
      </c>
      <c r="AF23" s="6">
        <f t="shared" si="23"/>
        <v>0</v>
      </c>
      <c r="AG23" s="6">
        <f t="shared" si="23"/>
        <v>-36.572192524048475</v>
      </c>
      <c r="AH23" s="6">
        <f t="shared" si="14"/>
        <v>-2730.0533426242164</v>
      </c>
      <c r="AI23" s="6">
        <f t="shared" si="21"/>
        <v>-2766.625535148265</v>
      </c>
      <c r="AJ23" s="6">
        <f t="shared" si="17"/>
        <v>0.25149802609071847</v>
      </c>
      <c r="AK23" s="6">
        <f t="shared" si="18"/>
        <v>0.24788179022248608</v>
      </c>
      <c r="AL23" s="6">
        <f t="shared" si="22"/>
        <v>-2766.1261553319518</v>
      </c>
      <c r="AM23" s="6">
        <f t="shared" si="8"/>
        <v>2.7300533426242168E-2</v>
      </c>
      <c r="AN23" s="6">
        <f t="shared" si="9"/>
        <v>-2766.0988547985257</v>
      </c>
      <c r="AR23" s="126">
        <f>AR22-1</f>
        <v>2005</v>
      </c>
      <c r="AS23" s="23">
        <f>SUM($AH$5:AH23)</f>
        <v>-26855.614951903059</v>
      </c>
      <c r="AT23" s="32">
        <f>INDEX('WL Non-Smoker Mortality Exp'!$A$25:$U$45,MATCH('Whole Life Non-Smoker W Inter'!AR23,'WL Non-Smoker Mortality Exp'!$A$25:$A$45,0),MATCH('Whole Life Non-Smoker W Inter'!$E$4,'WL Non-Smoker Mortality Exp'!$A$25:$U$25,0))</f>
        <v>29</v>
      </c>
      <c r="AU23" s="23"/>
      <c r="AV23" s="32"/>
      <c r="AW23" s="32"/>
      <c r="AX23" s="23"/>
    </row>
    <row r="24" spans="1:50" x14ac:dyDescent="0.15">
      <c r="B24" s="3"/>
      <c r="C24" s="10"/>
      <c r="F24" s="3"/>
      <c r="G24" s="10"/>
      <c r="I24" s="14">
        <f t="shared" si="10"/>
        <v>84</v>
      </c>
      <c r="J24" s="3">
        <f t="shared" si="11"/>
        <v>20</v>
      </c>
      <c r="K24" s="13"/>
      <c r="L24" s="13"/>
      <c r="M24" s="26">
        <v>50</v>
      </c>
      <c r="N24" s="13">
        <f t="shared" si="0"/>
        <v>100000</v>
      </c>
      <c r="O24" s="30">
        <v>0.1</v>
      </c>
      <c r="P24" s="39">
        <f>N24*O24/1000</f>
        <v>10</v>
      </c>
      <c r="Q24" s="39">
        <f t="shared" si="2"/>
        <v>1</v>
      </c>
      <c r="R24" s="35"/>
      <c r="S24" s="43">
        <f>IFERROR(VLOOKUP(I24,'Mortality Table Latest'!$A$3:$E$123,4,FALSE)*1000*(1-$B$41),1)</f>
        <v>40.192959999999999</v>
      </c>
      <c r="T24" s="33"/>
      <c r="U24" s="37">
        <f t="shared" si="12"/>
        <v>0.73144385048096949</v>
      </c>
      <c r="V24" s="37">
        <f t="shared" si="20"/>
        <v>2.9398893424627589E-2</v>
      </c>
      <c r="W24" s="37"/>
      <c r="X24" s="36">
        <f t="shared" si="16"/>
        <v>0.70204495705634196</v>
      </c>
      <c r="Y24" s="35"/>
      <c r="Z24" s="6">
        <f t="shared" si="24"/>
        <v>7.3144385048096954</v>
      </c>
      <c r="AA24" s="6">
        <f t="shared" si="24"/>
        <v>0.73144385048096949</v>
      </c>
      <c r="AB24" s="6">
        <f t="shared" si="3"/>
        <v>7.0204495705634198</v>
      </c>
      <c r="AC24" s="6">
        <f t="shared" si="4"/>
        <v>0.70204495705634196</v>
      </c>
      <c r="AE24" s="6">
        <f t="shared" si="5"/>
        <v>0</v>
      </c>
      <c r="AF24" s="6">
        <f t="shared" si="23"/>
        <v>0</v>
      </c>
      <c r="AG24" s="6">
        <f>-$X24*M24</f>
        <v>-35.102247852817101</v>
      </c>
      <c r="AH24" s="6">
        <f t="shared" si="14"/>
        <v>-2939.889342462759</v>
      </c>
      <c r="AI24" s="6">
        <f t="shared" si="21"/>
        <v>-2974.9915903155761</v>
      </c>
      <c r="AJ24" s="6">
        <f t="shared" si="17"/>
        <v>0.27300533426242168</v>
      </c>
      <c r="AK24" s="6">
        <f t="shared" si="18"/>
        <v>0.23896270595213276</v>
      </c>
      <c r="AL24" s="6">
        <f t="shared" si="22"/>
        <v>-2974.4796222753616</v>
      </c>
      <c r="AM24" s="6">
        <f t="shared" si="8"/>
        <v>2.9398893424627537E-2</v>
      </c>
      <c r="AN24" s="6">
        <f t="shared" si="9"/>
        <v>-2974.4502233819371</v>
      </c>
      <c r="AR24" s="128">
        <v>2004</v>
      </c>
      <c r="AS24" s="23">
        <f>SUM($AH$5:AH24)</f>
        <v>-29795.504294365819</v>
      </c>
      <c r="AT24" s="32">
        <f>INDEX('WL Non-Smoker Mortality Exp'!$A$25:$U$45,MATCH('Whole Life Non-Smoker W Inter'!AR24,'WL Non-Smoker Mortality Exp'!$A$25:$A$45,0),MATCH('Whole Life Non-Smoker W Inter'!$E$4,'WL Non-Smoker Mortality Exp'!$A$25:$U$25,0))</f>
        <v>26</v>
      </c>
      <c r="AU24" s="23"/>
      <c r="AV24" s="32"/>
      <c r="AW24" s="32"/>
      <c r="AX24" s="23"/>
    </row>
    <row r="25" spans="1:50" x14ac:dyDescent="0.15">
      <c r="B25" s="56" t="s">
        <v>65</v>
      </c>
      <c r="C25" s="46">
        <f>AP4</f>
        <v>6770.3452101247058</v>
      </c>
      <c r="F25" s="3"/>
      <c r="G25" s="10"/>
      <c r="I25" s="14">
        <f>$E$4+J25-1</f>
        <v>85</v>
      </c>
      <c r="J25" s="3">
        <f t="shared" si="11"/>
        <v>21</v>
      </c>
      <c r="K25" s="35"/>
      <c r="L25" s="35"/>
      <c r="M25" s="26">
        <v>50</v>
      </c>
      <c r="N25" s="13">
        <f t="shared" si="0"/>
        <v>100000</v>
      </c>
      <c r="O25" s="30">
        <v>0.1</v>
      </c>
      <c r="P25" s="39">
        <f t="shared" ref="P25:P64" si="25">N25*O25/1000</f>
        <v>10</v>
      </c>
      <c r="Q25" s="39">
        <f t="shared" si="2"/>
        <v>1</v>
      </c>
      <c r="R25" s="35"/>
      <c r="S25" s="43">
        <f>IFERROR(VLOOKUP(I25,'Mortality Table Latest'!$A$3:$E$123,4,FALSE)*1000*(1-$B$41),1)</f>
        <v>44.593320000000006</v>
      </c>
      <c r="T25" s="35"/>
      <c r="U25" s="37">
        <f t="shared" si="12"/>
        <v>0.70204495705634196</v>
      </c>
      <c r="V25" s="37">
        <f t="shared" si="20"/>
        <v>3.1306515424399717E-2</v>
      </c>
      <c r="W25" s="35"/>
      <c r="X25" s="36">
        <f t="shared" si="16"/>
        <v>0.67073844163194218</v>
      </c>
      <c r="Y25" s="35"/>
      <c r="Z25" s="6">
        <f t="shared" si="24"/>
        <v>7.0204495705634198</v>
      </c>
      <c r="AA25" s="6">
        <f t="shared" si="24"/>
        <v>0.70204495705634196</v>
      </c>
      <c r="AB25" s="6">
        <f t="shared" si="3"/>
        <v>6.7073844163194218</v>
      </c>
      <c r="AC25" s="6">
        <f t="shared" si="4"/>
        <v>0.67073844163194218</v>
      </c>
      <c r="AG25" s="6">
        <f t="shared" ref="AG25:AG60" si="26">-$X25*M25</f>
        <v>-33.536922081597112</v>
      </c>
      <c r="AH25" s="6">
        <f t="shared" si="14"/>
        <v>-3130.6515424399718</v>
      </c>
      <c r="AI25" s="6">
        <f t="shared" si="21"/>
        <v>-3164.1884645215687</v>
      </c>
      <c r="AJ25" s="6">
        <f t="shared" si="17"/>
        <v>0.29398893424627537</v>
      </c>
      <c r="AK25" s="6">
        <f t="shared" si="18"/>
        <v>0.22935808747030692</v>
      </c>
      <c r="AL25" s="6">
        <f t="shared" ref="AL25:AL64" si="27">SUM(AI25:AK25)</f>
        <v>-3163.6651174998519</v>
      </c>
      <c r="AM25" s="6">
        <f t="shared" si="8"/>
        <v>3.1306515424399772E-2</v>
      </c>
      <c r="AN25" s="6">
        <f t="shared" si="9"/>
        <v>-3163.6338109844273</v>
      </c>
      <c r="AR25" s="126"/>
      <c r="AS25" s="23"/>
      <c r="AT25" s="32"/>
      <c r="AU25" s="23"/>
      <c r="AV25" s="32"/>
      <c r="AW25" s="32"/>
      <c r="AX25" s="23"/>
    </row>
    <row r="26" spans="1:50" x14ac:dyDescent="0.15">
      <c r="B26" s="3" t="s">
        <v>66</v>
      </c>
      <c r="C26" s="10">
        <f>H3*1.2</f>
        <v>57344.03976</v>
      </c>
      <c r="F26" s="3"/>
      <c r="G26" s="10"/>
      <c r="I26" s="14">
        <f t="shared" si="10"/>
        <v>86</v>
      </c>
      <c r="J26" s="3">
        <f t="shared" si="11"/>
        <v>22</v>
      </c>
      <c r="K26" s="35"/>
      <c r="L26" s="35"/>
      <c r="M26" s="26">
        <v>50</v>
      </c>
      <c r="N26" s="13">
        <f t="shared" si="0"/>
        <v>100000</v>
      </c>
      <c r="O26" s="30">
        <v>0.1</v>
      </c>
      <c r="P26" s="39">
        <f t="shared" si="25"/>
        <v>10</v>
      </c>
      <c r="Q26" s="39">
        <f t="shared" si="2"/>
        <v>1</v>
      </c>
      <c r="R26" s="35"/>
      <c r="S26" s="43">
        <f>IFERROR(VLOOKUP(I26,'Mortality Table Latest'!$A$3:$E$123,4,FALSE)*1000*(1-$B$41),1)</f>
        <v>56.350920000000002</v>
      </c>
      <c r="T26" s="35"/>
      <c r="U26" s="37">
        <f t="shared" si="12"/>
        <v>0.67073844163194218</v>
      </c>
      <c r="V26" s="37">
        <f t="shared" si="20"/>
        <v>3.7796728265326242E-2</v>
      </c>
      <c r="W26" s="35"/>
      <c r="X26" s="36">
        <f t="shared" si="16"/>
        <v>0.63294171336661598</v>
      </c>
      <c r="Y26" s="35"/>
      <c r="Z26" s="6">
        <f t="shared" si="24"/>
        <v>6.7073844163194218</v>
      </c>
      <c r="AA26" s="6">
        <f t="shared" si="24"/>
        <v>0.67073844163194218</v>
      </c>
      <c r="AB26" s="6">
        <f t="shared" si="3"/>
        <v>6.3294171336661602</v>
      </c>
      <c r="AC26" s="6">
        <f t="shared" si="4"/>
        <v>0.63294171336661598</v>
      </c>
      <c r="AG26" s="6">
        <f t="shared" si="26"/>
        <v>-31.647085668330799</v>
      </c>
      <c r="AH26" s="6">
        <f t="shared" si="14"/>
        <v>-3779.6728265326242</v>
      </c>
      <c r="AI26" s="6">
        <f t="shared" si="21"/>
        <v>-3811.3199122009551</v>
      </c>
      <c r="AJ26" s="6">
        <f t="shared" si="17"/>
        <v>0.313065154243998</v>
      </c>
      <c r="AK26" s="6">
        <f t="shared" si="18"/>
        <v>0.21913024888115554</v>
      </c>
      <c r="AL26" s="6">
        <f t="shared" si="27"/>
        <v>-3810.7877167978295</v>
      </c>
      <c r="AM26" s="6">
        <f t="shared" si="8"/>
        <v>3.7796728265326207E-2</v>
      </c>
      <c r="AN26" s="6">
        <f t="shared" si="9"/>
        <v>-3810.7499200695643</v>
      </c>
      <c r="AR26" s="126"/>
      <c r="AS26" s="28"/>
      <c r="AT26" s="28"/>
      <c r="AU26" s="23"/>
      <c r="AV26" s="32"/>
      <c r="AW26" s="32"/>
      <c r="AX26" s="23"/>
    </row>
    <row r="27" spans="1:50" x14ac:dyDescent="0.15">
      <c r="B27" s="3"/>
      <c r="C27" s="10"/>
      <c r="F27" s="3"/>
      <c r="G27" s="10"/>
      <c r="I27" s="14">
        <f t="shared" si="10"/>
        <v>87</v>
      </c>
      <c r="J27" s="3">
        <f t="shared" si="11"/>
        <v>23</v>
      </c>
      <c r="M27" s="26">
        <v>50</v>
      </c>
      <c r="N27" s="13">
        <f t="shared" si="0"/>
        <v>100000</v>
      </c>
      <c r="O27" s="30">
        <v>0.1</v>
      </c>
      <c r="P27" s="39">
        <f t="shared" si="25"/>
        <v>10</v>
      </c>
      <c r="Q27" s="39">
        <f t="shared" si="2"/>
        <v>1</v>
      </c>
      <c r="S27" s="43">
        <f>IFERROR(VLOOKUP(I27,'Mortality Table Latest'!$A$3:$E$123,4,FALSE)*1000*(1-$B$41),1)</f>
        <v>62.270200000000003</v>
      </c>
      <c r="U27" s="37">
        <f t="shared" si="12"/>
        <v>0.63294171336661598</v>
      </c>
      <c r="V27" s="37">
        <f t="shared" si="20"/>
        <v>3.9413407079681856E-2</v>
      </c>
      <c r="X27" s="36">
        <f t="shared" si="16"/>
        <v>0.59352830628693409</v>
      </c>
      <c r="Z27" s="6">
        <f t="shared" si="24"/>
        <v>6.3294171336661602</v>
      </c>
      <c r="AA27" s="6">
        <f t="shared" si="24"/>
        <v>0.63294171336661598</v>
      </c>
      <c r="AB27" s="6">
        <f t="shared" si="3"/>
        <v>5.9352830628693409</v>
      </c>
      <c r="AC27" s="6">
        <f t="shared" si="4"/>
        <v>0.59352830628693409</v>
      </c>
      <c r="AG27" s="6">
        <f t="shared" si="26"/>
        <v>-29.676415314346706</v>
      </c>
      <c r="AH27" s="6">
        <f t="shared" si="14"/>
        <v>-3941.3407079681856</v>
      </c>
      <c r="AI27" s="6">
        <f t="shared" si="21"/>
        <v>-3971.0171232825323</v>
      </c>
      <c r="AJ27" s="6">
        <f t="shared" si="17"/>
        <v>0.37796728265326179</v>
      </c>
      <c r="AK27" s="6">
        <f t="shared" si="18"/>
        <v>0.20678205775687347</v>
      </c>
      <c r="AL27" s="6">
        <f t="shared" si="27"/>
        <v>-3970.4323739421225</v>
      </c>
      <c r="AM27" s="6">
        <f t="shared" si="8"/>
        <v>3.9413407079681884E-2</v>
      </c>
      <c r="AN27" s="6">
        <f t="shared" si="9"/>
        <v>-3970.3929605350427</v>
      </c>
      <c r="AR27" s="63"/>
      <c r="AS27" s="32"/>
      <c r="AT27" s="32"/>
      <c r="AU27" s="23"/>
      <c r="AV27" s="32"/>
      <c r="AW27" s="32"/>
      <c r="AX27" s="23"/>
    </row>
    <row r="28" spans="1:50" x14ac:dyDescent="0.15">
      <c r="B28" s="3"/>
      <c r="C28" s="10"/>
      <c r="F28" s="3"/>
      <c r="G28" s="10"/>
      <c r="I28" s="14">
        <f t="shared" si="10"/>
        <v>88</v>
      </c>
      <c r="J28" s="3">
        <f t="shared" si="11"/>
        <v>24</v>
      </c>
      <c r="M28" s="26">
        <v>50</v>
      </c>
      <c r="N28" s="13">
        <f t="shared" si="0"/>
        <v>100000</v>
      </c>
      <c r="O28" s="30">
        <v>0.1</v>
      </c>
      <c r="P28" s="39">
        <f t="shared" si="25"/>
        <v>10</v>
      </c>
      <c r="Q28" s="39">
        <f t="shared" si="2"/>
        <v>1</v>
      </c>
      <c r="S28" s="43">
        <f>IFERROR(VLOOKUP(I28,'Mortality Table Latest'!$A$3:$E$123,4,FALSE)*1000*(1-$B$41),1)</f>
        <v>68.792999999999992</v>
      </c>
      <c r="U28" s="37">
        <f t="shared" si="12"/>
        <v>0.59352830628693409</v>
      </c>
      <c r="V28" s="37">
        <f t="shared" si="20"/>
        <v>4.0830592774397052E-2</v>
      </c>
      <c r="X28" s="36">
        <f t="shared" si="16"/>
        <v>0.55269771351253705</v>
      </c>
      <c r="Z28" s="6">
        <f>AB27</f>
        <v>5.9352830628693409</v>
      </c>
      <c r="AA28" s="6">
        <f t="shared" si="24"/>
        <v>0.59352830628693409</v>
      </c>
      <c r="AB28" s="6">
        <f t="shared" si="3"/>
        <v>5.5269771351253709</v>
      </c>
      <c r="AC28" s="6">
        <f t="shared" si="4"/>
        <v>0.55269771351253705</v>
      </c>
      <c r="AD28" s="44"/>
      <c r="AE28" s="13"/>
      <c r="AF28" s="13"/>
      <c r="AG28" s="6">
        <f t="shared" si="26"/>
        <v>-27.634885675626851</v>
      </c>
      <c r="AH28" s="6">
        <f t="shared" si="14"/>
        <v>-4083.0592774397051</v>
      </c>
      <c r="AI28" s="6">
        <f t="shared" si="21"/>
        <v>-4110.6941631153322</v>
      </c>
      <c r="AJ28" s="6">
        <f t="shared" si="17"/>
        <v>0.39413407079681856</v>
      </c>
      <c r="AK28" s="6">
        <f t="shared" si="18"/>
        <v>0.19390569766394136</v>
      </c>
      <c r="AL28" s="6">
        <f t="shared" si="27"/>
        <v>-4110.1061233468708</v>
      </c>
      <c r="AM28" s="6">
        <f t="shared" si="8"/>
        <v>4.0830592774397045E-2</v>
      </c>
      <c r="AN28" s="6">
        <f t="shared" si="9"/>
        <v>-4110.0652927540968</v>
      </c>
      <c r="AR28" s="63"/>
      <c r="AS28" s="94"/>
      <c r="AT28" s="94">
        <f>SUMPRODUCT(AS5:AS24,AT5:AT24)</f>
        <v>-16480806.4404549</v>
      </c>
    </row>
    <row r="29" spans="1:50" x14ac:dyDescent="0.15">
      <c r="A29" s="51" t="s">
        <v>86</v>
      </c>
      <c r="B29" s="3">
        <v>0</v>
      </c>
      <c r="C29" s="10"/>
      <c r="F29" s="3"/>
      <c r="G29" s="10"/>
      <c r="I29" s="14">
        <f t="shared" si="10"/>
        <v>89</v>
      </c>
      <c r="J29" s="3">
        <f t="shared" si="11"/>
        <v>25</v>
      </c>
      <c r="M29" s="26">
        <v>50</v>
      </c>
      <c r="N29" s="13">
        <f t="shared" si="0"/>
        <v>100000</v>
      </c>
      <c r="O29" s="30">
        <v>0.1</v>
      </c>
      <c r="P29" s="39">
        <f t="shared" si="25"/>
        <v>10</v>
      </c>
      <c r="Q29" s="39">
        <f t="shared" si="2"/>
        <v>1</v>
      </c>
      <c r="S29" s="43">
        <f>IFERROR(VLOOKUP(I29,'Mortality Table Latest'!$A$3:$E$123,4,FALSE)*1000*(1-$B$41),1)</f>
        <v>76.005799999999994</v>
      </c>
      <c r="U29" s="37">
        <f t="shared" si="12"/>
        <v>0.55269771351253705</v>
      </c>
      <c r="V29" s="37">
        <f t="shared" si="20"/>
        <v>4.2008231873691189E-2</v>
      </c>
      <c r="X29" s="36">
        <f t="shared" si="16"/>
        <v>0.51068948163884587</v>
      </c>
      <c r="Z29" s="6">
        <f t="shared" si="24"/>
        <v>5.5269771351253709</v>
      </c>
      <c r="AA29" s="6">
        <f t="shared" si="24"/>
        <v>0.55269771351253705</v>
      </c>
      <c r="AB29" s="6">
        <f t="shared" si="3"/>
        <v>5.1068948163884587</v>
      </c>
      <c r="AC29" s="6">
        <f t="shared" si="4"/>
        <v>0.51068948163884587</v>
      </c>
      <c r="AG29" s="6">
        <f t="shared" si="26"/>
        <v>-25.534474081942292</v>
      </c>
      <c r="AH29" s="6">
        <f t="shared" si="14"/>
        <v>-4200.8231873691193</v>
      </c>
      <c r="AI29" s="6">
        <f t="shared" si="21"/>
        <v>-4226.3576614510612</v>
      </c>
      <c r="AJ29" s="6">
        <f t="shared" si="17"/>
        <v>0.40830592774397029</v>
      </c>
      <c r="AK29" s="6">
        <f t="shared" si="18"/>
        <v>0.18056634300454588</v>
      </c>
      <c r="AL29" s="6">
        <f t="shared" si="27"/>
        <v>-4225.7687891803134</v>
      </c>
      <c r="AM29" s="6">
        <f t="shared" si="8"/>
        <v>4.2008231873691182E-2</v>
      </c>
      <c r="AN29" s="6">
        <f t="shared" si="9"/>
        <v>-4225.7267809484401</v>
      </c>
    </row>
    <row r="30" spans="1:50" x14ac:dyDescent="0.15">
      <c r="B30" s="51" t="s">
        <v>107</v>
      </c>
      <c r="F30" s="3"/>
      <c r="G30" s="10"/>
      <c r="I30" s="14">
        <f t="shared" si="10"/>
        <v>90</v>
      </c>
      <c r="J30" s="3">
        <f t="shared" si="11"/>
        <v>26</v>
      </c>
      <c r="M30" s="26">
        <v>50</v>
      </c>
      <c r="N30" s="13">
        <f t="shared" si="0"/>
        <v>100000</v>
      </c>
      <c r="O30" s="30">
        <v>0.1</v>
      </c>
      <c r="P30" s="39">
        <f t="shared" si="25"/>
        <v>10</v>
      </c>
      <c r="Q30" s="39">
        <f t="shared" si="2"/>
        <v>1</v>
      </c>
      <c r="S30" s="43">
        <f>IFERROR(VLOOKUP(I30,'Mortality Table Latest'!$A$3:$E$123,4,FALSE)*1000*(1-$B$41),1)</f>
        <v>83.169840000000008</v>
      </c>
      <c r="U30" s="37">
        <f t="shared" si="12"/>
        <v>0.51068948163884587</v>
      </c>
      <c r="V30" s="37">
        <f t="shared" si="20"/>
        <v>4.2473962477585753E-2</v>
      </c>
      <c r="X30" s="36">
        <f t="shared" si="16"/>
        <v>0.46821551916126014</v>
      </c>
      <c r="Z30" s="6">
        <f t="shared" si="24"/>
        <v>5.1068948163884587</v>
      </c>
      <c r="AA30" s="6">
        <f t="shared" si="24"/>
        <v>0.51068948163884587</v>
      </c>
      <c r="AB30" s="6">
        <f t="shared" si="3"/>
        <v>4.6821551916126012</v>
      </c>
      <c r="AC30" s="6">
        <f t="shared" si="4"/>
        <v>0.46821551916126014</v>
      </c>
      <c r="AG30" s="6">
        <f t="shared" si="26"/>
        <v>-23.410775958063006</v>
      </c>
      <c r="AH30" s="6">
        <f t="shared" si="14"/>
        <v>-4247.3962477585756</v>
      </c>
      <c r="AI30" s="6">
        <f t="shared" si="21"/>
        <v>-4270.8070237166385</v>
      </c>
      <c r="AJ30" s="6">
        <f t="shared" si="17"/>
        <v>0.42008231873691199</v>
      </c>
      <c r="AK30" s="6">
        <f>$D$6*SUM(Z30:AA30,AE30:AF30)</f>
        <v>0.16684225365141095</v>
      </c>
      <c r="AL30" s="6">
        <f t="shared" si="27"/>
        <v>-4270.2200991442505</v>
      </c>
      <c r="AM30" s="6">
        <f t="shared" si="8"/>
        <v>4.2473962477585725E-2</v>
      </c>
      <c r="AN30" s="6">
        <f t="shared" si="9"/>
        <v>-4270.1776251817728</v>
      </c>
    </row>
    <row r="31" spans="1:50" x14ac:dyDescent="0.15">
      <c r="B31" s="51" t="s">
        <v>108</v>
      </c>
      <c r="C31" s="51" t="s">
        <v>109</v>
      </c>
      <c r="F31" s="3"/>
      <c r="G31" s="10"/>
      <c r="H31" s="51"/>
      <c r="I31" s="14">
        <f t="shared" si="10"/>
        <v>91</v>
      </c>
      <c r="J31" s="3">
        <f t="shared" si="11"/>
        <v>27</v>
      </c>
      <c r="M31" s="26">
        <v>50</v>
      </c>
      <c r="N31" s="13">
        <f t="shared" si="0"/>
        <v>100000</v>
      </c>
      <c r="O31" s="30">
        <v>0.1</v>
      </c>
      <c r="P31" s="39">
        <f t="shared" si="25"/>
        <v>10</v>
      </c>
      <c r="Q31" s="39">
        <f t="shared" si="2"/>
        <v>1</v>
      </c>
      <c r="S31" s="43">
        <f>IFERROR(VLOOKUP(I31,'Mortality Table Latest'!$A$3:$E$123,4,FALSE)*1000*(1-$B$41),1)</f>
        <v>108.1276</v>
      </c>
      <c r="U31" s="37">
        <f t="shared" si="12"/>
        <v>0.46821551916126014</v>
      </c>
      <c r="V31" s="37">
        <f t="shared" si="20"/>
        <v>5.0627020369661074E-2</v>
      </c>
      <c r="X31" s="36">
        <f t="shared" si="16"/>
        <v>0.41758849879159909</v>
      </c>
      <c r="Z31" s="6">
        <f t="shared" si="24"/>
        <v>4.6821551916126012</v>
      </c>
      <c r="AA31" s="6">
        <f t="shared" si="24"/>
        <v>0.46821551916126014</v>
      </c>
      <c r="AB31" s="6">
        <f t="shared" si="3"/>
        <v>4.1758849879159907</v>
      </c>
      <c r="AC31" s="6">
        <f t="shared" si="4"/>
        <v>0.41758849879159909</v>
      </c>
      <c r="AD31" s="51"/>
      <c r="AE31" s="45"/>
      <c r="AF31" s="45"/>
      <c r="AG31" s="6">
        <f t="shared" si="26"/>
        <v>-20.879424939579955</v>
      </c>
      <c r="AH31" s="6">
        <f t="shared" si="14"/>
        <v>-5062.7020369661077</v>
      </c>
      <c r="AI31" s="6">
        <f t="shared" si="21"/>
        <v>-5083.5814619056873</v>
      </c>
      <c r="AJ31" s="6">
        <f t="shared" si="17"/>
        <v>0.42473962477585714</v>
      </c>
      <c r="AK31" s="6">
        <f t="shared" si="18"/>
        <v>0.1529660101099837</v>
      </c>
      <c r="AL31" s="6">
        <f t="shared" si="27"/>
        <v>-5083.0037562708021</v>
      </c>
      <c r="AM31" s="6">
        <f t="shared" si="8"/>
        <v>5.0627020369661047E-2</v>
      </c>
      <c r="AN31" s="6">
        <f t="shared" si="9"/>
        <v>-5082.9531292504325</v>
      </c>
    </row>
    <row r="32" spans="1:50" x14ac:dyDescent="0.15">
      <c r="B32" s="51" t="s">
        <v>18</v>
      </c>
      <c r="C32" t="s">
        <v>110</v>
      </c>
      <c r="F32" s="3"/>
      <c r="G32" s="10"/>
      <c r="H32" s="51"/>
      <c r="I32" s="14">
        <f t="shared" si="10"/>
        <v>92</v>
      </c>
      <c r="J32" s="3">
        <f t="shared" si="11"/>
        <v>28</v>
      </c>
      <c r="M32" s="26">
        <v>50</v>
      </c>
      <c r="N32" s="13">
        <f t="shared" si="0"/>
        <v>100000</v>
      </c>
      <c r="O32" s="30">
        <v>0.1</v>
      </c>
      <c r="P32" s="39">
        <f t="shared" si="25"/>
        <v>10</v>
      </c>
      <c r="Q32" s="39">
        <f t="shared" si="2"/>
        <v>1</v>
      </c>
      <c r="S32" s="43">
        <f>IFERROR(VLOOKUP(I32,'Mortality Table Latest'!$A$3:$E$123,4,FALSE)*1000*(1-$B$41),1)</f>
        <v>117.77012000000003</v>
      </c>
      <c r="U32" s="37">
        <f t="shared" si="12"/>
        <v>0.41758849879159909</v>
      </c>
      <c r="V32" s="37">
        <f t="shared" si="20"/>
        <v>4.917944761330649E-2</v>
      </c>
      <c r="X32" s="36">
        <f t="shared" si="16"/>
        <v>0.36840905117829259</v>
      </c>
      <c r="Z32" s="6">
        <f t="shared" si="24"/>
        <v>4.1758849879159907</v>
      </c>
      <c r="AA32" s="6">
        <f t="shared" si="24"/>
        <v>0.41758849879159909</v>
      </c>
      <c r="AB32" s="6">
        <f t="shared" si="3"/>
        <v>3.6840905117829257</v>
      </c>
      <c r="AC32" s="6">
        <f t="shared" si="4"/>
        <v>0.36840905117829259</v>
      </c>
      <c r="AD32" s="51"/>
      <c r="AE32" s="45"/>
      <c r="AF32" s="45"/>
      <c r="AG32" s="6">
        <f t="shared" si="26"/>
        <v>-18.420452558914629</v>
      </c>
      <c r="AH32" s="6">
        <f t="shared" si="14"/>
        <v>-4917.9447613306493</v>
      </c>
      <c r="AI32" s="6">
        <f t="shared" si="21"/>
        <v>-4936.3652138895641</v>
      </c>
      <c r="AJ32" s="6">
        <f t="shared" si="17"/>
        <v>0.50627020369661058</v>
      </c>
      <c r="AK32" s="6">
        <f t="shared" si="18"/>
        <v>0.13642616255521542</v>
      </c>
      <c r="AL32" s="6">
        <f t="shared" si="27"/>
        <v>-4935.7225175233125</v>
      </c>
      <c r="AM32" s="6">
        <f t="shared" si="8"/>
        <v>4.9179447613306504E-2</v>
      </c>
      <c r="AN32" s="6">
        <f t="shared" si="9"/>
        <v>-4935.6733380756996</v>
      </c>
    </row>
    <row r="33" spans="1:40" x14ac:dyDescent="0.15">
      <c r="B33" s="51" t="s">
        <v>111</v>
      </c>
      <c r="F33" s="3"/>
      <c r="G33" s="10"/>
      <c r="H33" s="51"/>
      <c r="I33" s="14">
        <f t="shared" si="10"/>
        <v>93</v>
      </c>
      <c r="J33" s="3">
        <f t="shared" si="11"/>
        <v>29</v>
      </c>
      <c r="M33" s="26">
        <v>50</v>
      </c>
      <c r="N33" s="13">
        <f t="shared" si="0"/>
        <v>100000</v>
      </c>
      <c r="O33" s="30">
        <v>0.1</v>
      </c>
      <c r="P33" s="39">
        <f t="shared" si="25"/>
        <v>10</v>
      </c>
      <c r="Q33" s="39">
        <f t="shared" si="2"/>
        <v>1</v>
      </c>
      <c r="S33" s="43">
        <f>IFERROR(VLOOKUP(I33,'Mortality Table Latest'!$A$3:$E$123,4,FALSE)*1000*(1-$B$41),1)</f>
        <v>127.73371999999999</v>
      </c>
      <c r="U33" s="37">
        <f t="shared" si="12"/>
        <v>0.36840905117829259</v>
      </c>
      <c r="V33" s="37">
        <f t="shared" si="20"/>
        <v>4.7058258588673692E-2</v>
      </c>
      <c r="X33" s="36">
        <f t="shared" si="16"/>
        <v>0.32135079258961891</v>
      </c>
      <c r="Z33" s="6">
        <f t="shared" si="24"/>
        <v>3.6840905117829257</v>
      </c>
      <c r="AA33" s="6">
        <f t="shared" si="24"/>
        <v>0.36840905117829259</v>
      </c>
      <c r="AB33" s="6">
        <f t="shared" si="3"/>
        <v>3.2135079258961889</v>
      </c>
      <c r="AC33" s="6">
        <f t="shared" si="4"/>
        <v>0.32135079258961891</v>
      </c>
      <c r="AG33" s="6">
        <f t="shared" si="26"/>
        <v>-16.067539629480944</v>
      </c>
      <c r="AH33" s="6">
        <f t="shared" si="14"/>
        <v>-4705.8258588673689</v>
      </c>
      <c r="AI33" s="6">
        <f t="shared" si="21"/>
        <v>-4721.8933984968498</v>
      </c>
      <c r="AJ33" s="6">
        <f t="shared" si="17"/>
        <v>0.49179447613306521</v>
      </c>
      <c r="AK33" s="6">
        <f t="shared" si="18"/>
        <v>0.12035923701994818</v>
      </c>
      <c r="AL33" s="6">
        <f t="shared" si="27"/>
        <v>-4721.2812447836968</v>
      </c>
      <c r="AM33" s="6">
        <f t="shared" si="8"/>
        <v>4.7058258588673685E-2</v>
      </c>
      <c r="AN33" s="6">
        <f t="shared" si="9"/>
        <v>-4721.2341865251083</v>
      </c>
    </row>
    <row r="34" spans="1:40" x14ac:dyDescent="0.15">
      <c r="B34" s="51" t="s">
        <v>17</v>
      </c>
      <c r="C34" t="s">
        <v>112</v>
      </c>
      <c r="F34" s="3"/>
      <c r="G34" s="10"/>
      <c r="H34" s="51"/>
      <c r="I34" s="14">
        <f t="shared" si="10"/>
        <v>94</v>
      </c>
      <c r="J34" s="3">
        <f t="shared" si="11"/>
        <v>30</v>
      </c>
      <c r="M34" s="26">
        <v>50</v>
      </c>
      <c r="N34" s="13">
        <f t="shared" si="0"/>
        <v>100000</v>
      </c>
      <c r="O34" s="30">
        <v>0.1</v>
      </c>
      <c r="P34" s="39">
        <f t="shared" si="25"/>
        <v>10</v>
      </c>
      <c r="Q34" s="39">
        <f t="shared" si="2"/>
        <v>1</v>
      </c>
      <c r="S34" s="43">
        <f>IFERROR(VLOOKUP(I34,'Mortality Table Latest'!$A$3:$E$123,4,FALSE)*1000*(1-$B$41),1)</f>
        <v>138.42320000000001</v>
      </c>
      <c r="U34" s="37">
        <f t="shared" si="12"/>
        <v>0.32135079258961891</v>
      </c>
      <c r="V34" s="37">
        <f t="shared" si="20"/>
        <v>4.4482405032791342E-2</v>
      </c>
      <c r="X34" s="36">
        <f t="shared" si="16"/>
        <v>0.27686838755682758</v>
      </c>
      <c r="Z34" s="6">
        <f t="shared" si="24"/>
        <v>3.2135079258961889</v>
      </c>
      <c r="AA34" s="6">
        <f t="shared" si="24"/>
        <v>0.32135079258961891</v>
      </c>
      <c r="AB34" s="6">
        <f t="shared" si="3"/>
        <v>2.7686838755682759</v>
      </c>
      <c r="AC34" s="6">
        <f t="shared" si="4"/>
        <v>0.27686838755682758</v>
      </c>
      <c r="AG34" s="6">
        <f t="shared" si="26"/>
        <v>-13.843419377841379</v>
      </c>
      <c r="AH34" s="6">
        <f t="shared" si="14"/>
        <v>-4448.2405032791339</v>
      </c>
      <c r="AI34" s="6">
        <f t="shared" si="21"/>
        <v>-4462.0839226569751</v>
      </c>
      <c r="AJ34" s="6">
        <f t="shared" si="17"/>
        <v>0.47058258588673696</v>
      </c>
      <c r="AK34" s="6">
        <f t="shared" si="18"/>
        <v>0.1049853039390285</v>
      </c>
      <c r="AL34" s="6">
        <f t="shared" si="27"/>
        <v>-4461.5083547671493</v>
      </c>
      <c r="AM34" s="6">
        <f t="shared" si="8"/>
        <v>4.4482405032791328E-2</v>
      </c>
      <c r="AN34" s="6">
        <f t="shared" si="9"/>
        <v>-4461.4638723621165</v>
      </c>
    </row>
    <row r="35" spans="1:40" x14ac:dyDescent="0.15">
      <c r="B35" s="51" t="s">
        <v>24</v>
      </c>
      <c r="F35" s="3"/>
      <c r="G35" s="10"/>
      <c r="H35" s="51"/>
      <c r="I35" s="14">
        <f t="shared" si="10"/>
        <v>95</v>
      </c>
      <c r="J35" s="3">
        <f t="shared" si="11"/>
        <v>31</v>
      </c>
      <c r="M35" s="26">
        <v>50</v>
      </c>
      <c r="N35" s="13">
        <f t="shared" si="0"/>
        <v>100000</v>
      </c>
      <c r="O35" s="30">
        <v>0.1</v>
      </c>
      <c r="P35" s="39">
        <f t="shared" si="25"/>
        <v>10</v>
      </c>
      <c r="Q35" s="39">
        <f t="shared" si="2"/>
        <v>1</v>
      </c>
      <c r="S35" s="43">
        <f>IFERROR(VLOOKUP(I35,'Mortality Table Latest'!$A$3:$E$123,4,FALSE)*1000*(1-$B$41),1)</f>
        <v>149.41720000000001</v>
      </c>
      <c r="U35" s="37">
        <f t="shared" si="12"/>
        <v>0.27686838755682758</v>
      </c>
      <c r="V35" s="37">
        <f t="shared" si="20"/>
        <v>4.1368899237256014E-2</v>
      </c>
      <c r="X35" s="36">
        <f t="shared" si="16"/>
        <v>0.23549948831957157</v>
      </c>
      <c r="Z35" s="6">
        <f t="shared" si="24"/>
        <v>2.7686838755682759</v>
      </c>
      <c r="AA35" s="6">
        <f t="shared" si="24"/>
        <v>0.27686838755682758</v>
      </c>
      <c r="AB35" s="6">
        <f t="shared" si="3"/>
        <v>2.3549948831957157</v>
      </c>
      <c r="AC35" s="6">
        <f t="shared" si="4"/>
        <v>0.23549948831957157</v>
      </c>
      <c r="AG35" s="6">
        <f t="shared" si="26"/>
        <v>-11.774974415978578</v>
      </c>
      <c r="AH35" s="6">
        <f t="shared" si="14"/>
        <v>-4136.889923725601</v>
      </c>
      <c r="AI35" s="6">
        <f t="shared" si="21"/>
        <v>-4148.6648981415792</v>
      </c>
      <c r="AJ35" s="6">
        <f t="shared" si="17"/>
        <v>0.44482405032791328</v>
      </c>
      <c r="AK35" s="6">
        <f t="shared" si="18"/>
        <v>9.045290221481557E-2</v>
      </c>
      <c r="AL35" s="6">
        <f t="shared" si="27"/>
        <v>-4148.1296211890367</v>
      </c>
      <c r="AM35" s="6">
        <f t="shared" si="8"/>
        <v>4.1368899237256007E-2</v>
      </c>
      <c r="AN35" s="6">
        <f t="shared" si="9"/>
        <v>-4148.0882522897991</v>
      </c>
    </row>
    <row r="36" spans="1:40" x14ac:dyDescent="0.15">
      <c r="B36" s="51" t="s">
        <v>113</v>
      </c>
      <c r="F36" s="3"/>
      <c r="G36" s="10"/>
      <c r="H36" s="51"/>
      <c r="I36" s="14">
        <f t="shared" si="10"/>
        <v>96</v>
      </c>
      <c r="J36" s="3">
        <f t="shared" si="11"/>
        <v>32</v>
      </c>
      <c r="M36" s="26">
        <v>50</v>
      </c>
      <c r="N36" s="13">
        <f t="shared" si="0"/>
        <v>100000</v>
      </c>
      <c r="O36" s="30">
        <v>0.1</v>
      </c>
      <c r="P36" s="39">
        <f t="shared" si="25"/>
        <v>10</v>
      </c>
      <c r="Q36" s="39">
        <f t="shared" si="2"/>
        <v>1</v>
      </c>
      <c r="S36" s="43">
        <f>IFERROR(VLOOKUP(I36,'Mortality Table Latest'!$A$3:$E$123,4,FALSE)*1000*(1-$B$41),1)</f>
        <v>161.06072</v>
      </c>
      <c r="U36" s="37">
        <f t="shared" si="12"/>
        <v>0.23549948831957157</v>
      </c>
      <c r="V36" s="37">
        <f t="shared" si="20"/>
        <v>3.7929717148381788E-2</v>
      </c>
      <c r="X36" s="36">
        <f t="shared" si="16"/>
        <v>0.19756977117118979</v>
      </c>
      <c r="Z36" s="6">
        <f t="shared" si="24"/>
        <v>2.3549948831957157</v>
      </c>
      <c r="AA36" s="6">
        <f t="shared" si="24"/>
        <v>0.23549948831957157</v>
      </c>
      <c r="AB36" s="6">
        <f t="shared" si="3"/>
        <v>1.9756977117118979</v>
      </c>
      <c r="AC36" s="6">
        <f t="shared" si="4"/>
        <v>0.19756977117118979</v>
      </c>
      <c r="AG36" s="6">
        <f t="shared" si="26"/>
        <v>-9.8784885585594893</v>
      </c>
      <c r="AH36" s="6">
        <f t="shared" si="14"/>
        <v>-3792.9717148381787</v>
      </c>
      <c r="AI36" s="6">
        <f t="shared" si="21"/>
        <v>-3802.8502033967384</v>
      </c>
      <c r="AJ36" s="6">
        <f t="shared" si="17"/>
        <v>0.41368899237256007</v>
      </c>
      <c r="AK36" s="6">
        <f t="shared" si="18"/>
        <v>7.693768283400404E-2</v>
      </c>
      <c r="AL36" s="6">
        <f t="shared" si="27"/>
        <v>-3802.359576721532</v>
      </c>
      <c r="AM36" s="6">
        <f t="shared" si="8"/>
        <v>3.7929717148381781E-2</v>
      </c>
      <c r="AN36" s="6">
        <f t="shared" si="9"/>
        <v>-3802.3216470043835</v>
      </c>
    </row>
    <row r="37" spans="1:40" x14ac:dyDescent="0.15">
      <c r="B37" s="51" t="s">
        <v>114</v>
      </c>
      <c r="F37" s="3"/>
      <c r="G37" s="10"/>
      <c r="H37" s="51"/>
      <c r="I37" s="14">
        <f t="shared" si="10"/>
        <v>97</v>
      </c>
      <c r="J37" s="3">
        <f t="shared" si="11"/>
        <v>33</v>
      </c>
      <c r="M37" s="26">
        <v>50</v>
      </c>
      <c r="N37" s="13">
        <f t="shared" si="0"/>
        <v>100000</v>
      </c>
      <c r="O37" s="30">
        <v>0.1</v>
      </c>
      <c r="P37" s="39">
        <f t="shared" si="25"/>
        <v>10</v>
      </c>
      <c r="Q37" s="39">
        <f t="shared" si="2"/>
        <v>1</v>
      </c>
      <c r="S37" s="43">
        <f>IFERROR(VLOOKUP(I37,'Mortality Table Latest'!$A$3:$E$123,4,FALSE)*1000*(1-$B$41),1)</f>
        <v>173.3878</v>
      </c>
      <c r="U37" s="37">
        <f t="shared" si="12"/>
        <v>0.19756977117118979</v>
      </c>
      <c r="V37" s="37">
        <f t="shared" si="20"/>
        <v>3.425618796987602E-2</v>
      </c>
      <c r="X37" s="36">
        <f t="shared" si="16"/>
        <v>0.16331358320131378</v>
      </c>
      <c r="Z37" s="6">
        <f t="shared" si="24"/>
        <v>1.9756977117118979</v>
      </c>
      <c r="AA37" s="6">
        <f t="shared" si="24"/>
        <v>0.19756977117118979</v>
      </c>
      <c r="AB37" s="6">
        <f t="shared" si="3"/>
        <v>1.6331358320131377</v>
      </c>
      <c r="AC37" s="6">
        <f t="shared" si="4"/>
        <v>0.16331358320131378</v>
      </c>
      <c r="AG37" s="6">
        <f t="shared" si="26"/>
        <v>-8.1656791600656895</v>
      </c>
      <c r="AH37" s="6">
        <f t="shared" si="14"/>
        <v>-3425.6187969876019</v>
      </c>
      <c r="AI37" s="6">
        <f t="shared" si="21"/>
        <v>-3433.7844761476676</v>
      </c>
      <c r="AJ37" s="6">
        <f t="shared" si="17"/>
        <v>0.37929717148381775</v>
      </c>
      <c r="AK37" s="6">
        <f t="shared" si="18"/>
        <v>6.4546044241627715E-2</v>
      </c>
      <c r="AL37" s="6">
        <f t="shared" si="27"/>
        <v>-3433.3406329319423</v>
      </c>
      <c r="AM37" s="6">
        <f t="shared" si="8"/>
        <v>3.4256187969876006E-2</v>
      </c>
      <c r="AN37" s="6">
        <f t="shared" si="9"/>
        <v>-3433.3063767439726</v>
      </c>
    </row>
    <row r="38" spans="1:40" x14ac:dyDescent="0.15">
      <c r="B38" s="56" t="s">
        <v>17</v>
      </c>
      <c r="C38" s="4">
        <v>0.1</v>
      </c>
      <c r="F38" s="3"/>
      <c r="G38" s="10"/>
      <c r="H38" s="51"/>
      <c r="I38" s="14">
        <f t="shared" si="10"/>
        <v>98</v>
      </c>
      <c r="J38" s="3">
        <f t="shared" si="11"/>
        <v>34</v>
      </c>
      <c r="M38" s="26">
        <v>50</v>
      </c>
      <c r="N38" s="13">
        <f t="shared" si="0"/>
        <v>100000</v>
      </c>
      <c r="O38" s="30">
        <v>0.1</v>
      </c>
      <c r="P38" s="39">
        <f t="shared" si="25"/>
        <v>10</v>
      </c>
      <c r="Q38" s="39">
        <f t="shared" si="2"/>
        <v>1</v>
      </c>
      <c r="S38" s="43">
        <f>IFERROR(VLOOKUP(I38,'Mortality Table Latest'!$A$3:$E$123,4,FALSE)*1000*(1-$B$41),1)</f>
        <v>185.94212000000002</v>
      </c>
      <c r="U38" s="37">
        <f t="shared" si="12"/>
        <v>0.16331358320131378</v>
      </c>
      <c r="V38" s="37">
        <f t="shared" si="20"/>
        <v>3.0366873885248676E-2</v>
      </c>
      <c r="X38" s="36">
        <f t="shared" si="16"/>
        <v>0.13294670931606511</v>
      </c>
      <c r="Z38" s="6">
        <f t="shared" ref="Z38:AA64" si="28">AB37</f>
        <v>1.6331358320131377</v>
      </c>
      <c r="AA38" s="6">
        <f t="shared" si="28"/>
        <v>0.16331358320131378</v>
      </c>
      <c r="AB38" s="6">
        <f t="shared" si="3"/>
        <v>1.3294670931606511</v>
      </c>
      <c r="AC38" s="6">
        <f t="shared" si="4"/>
        <v>0.13294670931606511</v>
      </c>
      <c r="AG38" s="6">
        <f t="shared" si="26"/>
        <v>-6.6473354658032555</v>
      </c>
      <c r="AH38" s="6">
        <f t="shared" si="14"/>
        <v>-3036.6873885248674</v>
      </c>
      <c r="AI38" s="6">
        <f t="shared" si="21"/>
        <v>-3043.3347239906707</v>
      </c>
      <c r="AJ38" s="6">
        <f t="shared" si="17"/>
        <v>0.3425618796987599</v>
      </c>
      <c r="AK38" s="6">
        <f t="shared" si="18"/>
        <v>5.3354547631869212E-2</v>
      </c>
      <c r="AL38" s="6">
        <f t="shared" si="27"/>
        <v>-3042.9388075633401</v>
      </c>
      <c r="AM38" s="6">
        <f t="shared" si="8"/>
        <v>3.0366873885248669E-2</v>
      </c>
      <c r="AN38" s="6">
        <f t="shared" si="9"/>
        <v>-3042.9084406894549</v>
      </c>
    </row>
    <row r="39" spans="1:40" x14ac:dyDescent="0.15">
      <c r="B39" s="3"/>
      <c r="C39" s="10"/>
      <c r="F39" s="3"/>
      <c r="G39" s="10"/>
      <c r="I39" s="14">
        <f t="shared" si="10"/>
        <v>99</v>
      </c>
      <c r="J39" s="3">
        <f t="shared" si="11"/>
        <v>35</v>
      </c>
      <c r="M39" s="26">
        <v>50</v>
      </c>
      <c r="N39" s="13">
        <f t="shared" si="0"/>
        <v>100000</v>
      </c>
      <c r="O39" s="30">
        <v>0.1</v>
      </c>
      <c r="P39" s="39">
        <f t="shared" si="25"/>
        <v>10</v>
      </c>
      <c r="Q39" s="39">
        <f t="shared" si="2"/>
        <v>1</v>
      </c>
      <c r="S39" s="43">
        <f>IFERROR(VLOOKUP(I39,'Mortality Table Latest'!$A$3:$E$123,4,FALSE)*1000*(1-$B$41),1)</f>
        <v>199.06132000000002</v>
      </c>
      <c r="U39" s="37">
        <f t="shared" si="12"/>
        <v>0.13294670931606511</v>
      </c>
      <c r="V39" s="37">
        <f t="shared" si="20"/>
        <v>2.6464547446112222E-2</v>
      </c>
      <c r="X39" s="36">
        <f t="shared" si="16"/>
        <v>0.10648216186995289</v>
      </c>
      <c r="Z39" s="6">
        <f t="shared" si="28"/>
        <v>1.3294670931606511</v>
      </c>
      <c r="AA39" s="6">
        <f t="shared" si="28"/>
        <v>0.13294670931606511</v>
      </c>
      <c r="AB39" s="6">
        <f t="shared" si="3"/>
        <v>1.064821618699529</v>
      </c>
      <c r="AC39" s="6">
        <f t="shared" si="4"/>
        <v>0.10648216186995289</v>
      </c>
      <c r="AG39" s="6">
        <f t="shared" si="26"/>
        <v>-5.324108093497645</v>
      </c>
      <c r="AH39" s="6">
        <f t="shared" si="14"/>
        <v>-2646.4547446112219</v>
      </c>
      <c r="AI39" s="6">
        <f t="shared" si="21"/>
        <v>-2651.7788527047196</v>
      </c>
      <c r="AJ39" s="6">
        <f t="shared" si="17"/>
        <v>0.3036687388524868</v>
      </c>
      <c r="AK39" s="6">
        <f t="shared" si="18"/>
        <v>4.3433689933558478E-2</v>
      </c>
      <c r="AL39" s="6">
        <f t="shared" si="27"/>
        <v>-2651.4317502759336</v>
      </c>
      <c r="AM39" s="6">
        <f t="shared" si="8"/>
        <v>2.6464547446112222E-2</v>
      </c>
      <c r="AN39" s="6">
        <f t="shared" si="9"/>
        <v>-2651.4052857284873</v>
      </c>
    </row>
    <row r="40" spans="1:40" x14ac:dyDescent="0.15">
      <c r="A40" s="51" t="s">
        <v>82</v>
      </c>
      <c r="B40" s="3">
        <v>120</v>
      </c>
      <c r="C40" s="10"/>
      <c r="F40" s="3"/>
      <c r="G40" s="10"/>
      <c r="I40" s="14">
        <f t="shared" si="10"/>
        <v>100</v>
      </c>
      <c r="J40" s="3">
        <f t="shared" si="11"/>
        <v>36</v>
      </c>
      <c r="M40" s="26">
        <v>50</v>
      </c>
      <c r="N40" s="13">
        <f t="shared" si="0"/>
        <v>100000</v>
      </c>
      <c r="O40" s="30">
        <v>0.1</v>
      </c>
      <c r="P40" s="39">
        <f t="shared" si="25"/>
        <v>10</v>
      </c>
      <c r="Q40" s="39">
        <f t="shared" si="2"/>
        <v>1</v>
      </c>
      <c r="S40" s="43">
        <f>IFERROR(VLOOKUP(I40,'Mortality Table Latest'!$A$3:$E$123,4,FALSE)*1000*(1-$B$41),1)</f>
        <v>212.26975999999999</v>
      </c>
      <c r="U40" s="37">
        <f t="shared" si="12"/>
        <v>0.10648216186995289</v>
      </c>
      <c r="V40" s="37">
        <f t="shared" si="20"/>
        <v>2.260294294441605E-2</v>
      </c>
      <c r="X40" s="36">
        <f t="shared" si="16"/>
        <v>8.3879218925536847E-2</v>
      </c>
      <c r="Z40" s="6">
        <f t="shared" si="28"/>
        <v>1.064821618699529</v>
      </c>
      <c r="AA40" s="6">
        <f t="shared" si="28"/>
        <v>0.10648216186995289</v>
      </c>
      <c r="AB40" s="6">
        <f t="shared" si="3"/>
        <v>0.83879218925536847</v>
      </c>
      <c r="AC40" s="6">
        <f t="shared" si="4"/>
        <v>8.3879218925536847E-2</v>
      </c>
      <c r="AG40" s="6">
        <f t="shared" si="26"/>
        <v>-4.1939609462768423</v>
      </c>
      <c r="AH40" s="6">
        <f t="shared" si="14"/>
        <v>-2260.294294441605</v>
      </c>
      <c r="AI40" s="6">
        <f t="shared" si="21"/>
        <v>-2264.488255387882</v>
      </c>
      <c r="AJ40" s="6">
        <f t="shared" si="17"/>
        <v>0.26464547446112224</v>
      </c>
      <c r="AK40" s="6">
        <f t="shared" si="18"/>
        <v>3.4787722282913616E-2</v>
      </c>
      <c r="AL40" s="6">
        <f t="shared" si="27"/>
        <v>-2264.1888221911377</v>
      </c>
      <c r="AM40" s="6">
        <f t="shared" si="8"/>
        <v>2.2602942944416046E-2</v>
      </c>
      <c r="AN40" s="6">
        <f t="shared" si="9"/>
        <v>-2264.1662192481931</v>
      </c>
    </row>
    <row r="41" spans="1:40" x14ac:dyDescent="0.15">
      <c r="A41" s="51" t="s">
        <v>85</v>
      </c>
      <c r="B41" s="58">
        <v>0.08</v>
      </c>
      <c r="C41" s="10"/>
      <c r="F41" s="3"/>
      <c r="G41" s="10"/>
      <c r="I41" s="14">
        <f t="shared" si="10"/>
        <v>101</v>
      </c>
      <c r="J41" s="3">
        <f t="shared" si="11"/>
        <v>37</v>
      </c>
      <c r="M41" s="26">
        <v>50</v>
      </c>
      <c r="N41" s="13">
        <f t="shared" si="0"/>
        <v>100000</v>
      </c>
      <c r="O41" s="30">
        <v>0.1</v>
      </c>
      <c r="P41" s="39">
        <f t="shared" si="25"/>
        <v>10</v>
      </c>
      <c r="Q41" s="39">
        <f t="shared" si="2"/>
        <v>1</v>
      </c>
      <c r="S41" s="43">
        <f>IFERROR(VLOOKUP(I41,'Mortality Table Latest'!$A$3:$E$123,4,FALSE)*1000*(1-$B$41),1)</f>
        <v>225.26200000000003</v>
      </c>
      <c r="U41" s="37">
        <f t="shared" si="12"/>
        <v>8.3879218925536847E-2</v>
      </c>
      <c r="V41" s="37">
        <f t="shared" si="20"/>
        <v>1.8894800613604282E-2</v>
      </c>
      <c r="X41" s="36">
        <f t="shared" si="16"/>
        <v>6.4984418311932565E-2</v>
      </c>
      <c r="Z41" s="6">
        <f t="shared" si="28"/>
        <v>0.83879218925536847</v>
      </c>
      <c r="AA41" s="6">
        <f t="shared" si="28"/>
        <v>8.3879218925536847E-2</v>
      </c>
      <c r="AB41" s="6">
        <f t="shared" si="3"/>
        <v>0.64984418311932568</v>
      </c>
      <c r="AC41" s="6">
        <f t="shared" si="4"/>
        <v>6.4984418311932565E-2</v>
      </c>
      <c r="AG41" s="6">
        <f t="shared" si="26"/>
        <v>-3.2492209155966281</v>
      </c>
      <c r="AH41" s="6">
        <f t="shared" si="14"/>
        <v>-1889.4800613604282</v>
      </c>
      <c r="AI41" s="6">
        <f t="shared" si="21"/>
        <v>-1892.7292822760248</v>
      </c>
      <c r="AJ41" s="6">
        <f t="shared" si="17"/>
        <v>0.22602942944416043</v>
      </c>
      <c r="AK41" s="6">
        <f t="shared" si="18"/>
        <v>2.7403340822972889E-2</v>
      </c>
      <c r="AL41" s="6">
        <f t="shared" si="27"/>
        <v>-1892.4758495057577</v>
      </c>
      <c r="AM41" s="6">
        <f t="shared" si="8"/>
        <v>1.8894800613604282E-2</v>
      </c>
      <c r="AN41" s="6">
        <f t="shared" si="9"/>
        <v>-1892.456954705144</v>
      </c>
    </row>
    <row r="42" spans="1:40" x14ac:dyDescent="0.15">
      <c r="B42" s="3"/>
      <c r="C42" s="10"/>
      <c r="F42" s="3"/>
      <c r="G42" s="10"/>
      <c r="I42" s="14">
        <f t="shared" si="10"/>
        <v>102</v>
      </c>
      <c r="J42" s="3">
        <f t="shared" si="11"/>
        <v>38</v>
      </c>
      <c r="M42" s="26">
        <v>50</v>
      </c>
      <c r="N42" s="13">
        <f t="shared" si="0"/>
        <v>100000</v>
      </c>
      <c r="O42" s="30">
        <v>0.1</v>
      </c>
      <c r="P42" s="39">
        <f t="shared" si="25"/>
        <v>10</v>
      </c>
      <c r="Q42" s="39">
        <f t="shared" si="2"/>
        <v>1</v>
      </c>
      <c r="S42" s="43">
        <f>IFERROR(VLOOKUP(I42,'Mortality Table Latest'!$A$3:$E$123,4,FALSE)*1000*(1-$B$41),1)</f>
        <v>238.56428000000002</v>
      </c>
      <c r="U42" s="37">
        <f t="shared" si="12"/>
        <v>6.4984418311932565E-2</v>
      </c>
      <c r="V42" s="37">
        <f t="shared" si="20"/>
        <v>1.5502960965805009E-2</v>
      </c>
      <c r="X42" s="36">
        <f t="shared" si="16"/>
        <v>4.9481457346127557E-2</v>
      </c>
      <c r="Z42" s="6">
        <f t="shared" si="28"/>
        <v>0.64984418311932568</v>
      </c>
      <c r="AA42" s="6">
        <f t="shared" si="28"/>
        <v>6.4984418311932565E-2</v>
      </c>
      <c r="AB42" s="6">
        <f>P42*X42</f>
        <v>0.49481457346127555</v>
      </c>
      <c r="AC42" s="6">
        <f t="shared" si="4"/>
        <v>4.9481457346127557E-2</v>
      </c>
      <c r="AG42" s="6">
        <f t="shared" si="26"/>
        <v>-2.4740728673063779</v>
      </c>
      <c r="AH42" s="6">
        <f t="shared" si="14"/>
        <v>-1550.2960965805009</v>
      </c>
      <c r="AI42" s="6">
        <f t="shared" si="21"/>
        <v>-1552.7701694478073</v>
      </c>
      <c r="AJ42" s="6">
        <f t="shared" si="17"/>
        <v>0.18894800613604279</v>
      </c>
      <c r="AK42" s="6">
        <f t="shared" si="18"/>
        <v>2.1230409462508371E-2</v>
      </c>
      <c r="AL42" s="6">
        <f t="shared" si="27"/>
        <v>-1552.5599910322087</v>
      </c>
      <c r="AM42" s="6">
        <f t="shared" si="8"/>
        <v>1.5502960965805009E-2</v>
      </c>
      <c r="AN42" s="6">
        <f t="shared" si="9"/>
        <v>-1552.544488071243</v>
      </c>
    </row>
    <row r="43" spans="1:40" x14ac:dyDescent="0.15">
      <c r="B43" s="3"/>
      <c r="C43" s="10"/>
      <c r="F43" s="3"/>
      <c r="G43" s="10"/>
      <c r="I43" s="14">
        <f t="shared" si="10"/>
        <v>103</v>
      </c>
      <c r="J43" s="3">
        <f t="shared" si="11"/>
        <v>39</v>
      </c>
      <c r="M43" s="26">
        <v>50</v>
      </c>
      <c r="N43" s="13">
        <f t="shared" si="0"/>
        <v>100000</v>
      </c>
      <c r="O43" s="30">
        <v>0.1</v>
      </c>
      <c r="P43" s="39">
        <f t="shared" si="25"/>
        <v>10</v>
      </c>
      <c r="Q43" s="39">
        <f t="shared" si="2"/>
        <v>1</v>
      </c>
      <c r="S43" s="43">
        <f>IFERROR(VLOOKUP(I43,'Mortality Table Latest'!$A$3:$E$123,4,FALSE)*1000*(1-$B$41),1)</f>
        <v>252.10024000000001</v>
      </c>
      <c r="U43" s="37">
        <f t="shared" si="12"/>
        <v>4.9481457346127557E-2</v>
      </c>
      <c r="V43" s="37">
        <f t="shared" si="20"/>
        <v>1.2474287272508522E-2</v>
      </c>
      <c r="X43" s="36">
        <f t="shared" si="16"/>
        <v>3.7007170073619033E-2</v>
      </c>
      <c r="Z43" s="6">
        <f t="shared" si="28"/>
        <v>0.49481457346127555</v>
      </c>
      <c r="AA43" s="6">
        <f t="shared" si="28"/>
        <v>4.9481457346127557E-2</v>
      </c>
      <c r="AB43" s="6">
        <f t="shared" si="3"/>
        <v>0.37007170073619033</v>
      </c>
      <c r="AC43" s="6">
        <f t="shared" si="4"/>
        <v>3.7007170073619033E-2</v>
      </c>
      <c r="AG43" s="6">
        <f t="shared" si="26"/>
        <v>-1.8503585036809516</v>
      </c>
      <c r="AH43" s="6">
        <f t="shared" si="14"/>
        <v>-1247.4287272508523</v>
      </c>
      <c r="AI43" s="6">
        <f t="shared" si="21"/>
        <v>-1249.2790857545333</v>
      </c>
      <c r="AJ43" s="6">
        <f t="shared" si="17"/>
        <v>0.1550296096580501</v>
      </c>
      <c r="AK43" s="6">
        <f t="shared" si="18"/>
        <v>1.6165592114979872E-2</v>
      </c>
      <c r="AL43" s="6">
        <f t="shared" si="27"/>
        <v>-1249.1078905527604</v>
      </c>
      <c r="AM43" s="6">
        <f t="shared" si="8"/>
        <v>1.2474287272508523E-2</v>
      </c>
      <c r="AN43" s="6">
        <f t="shared" si="9"/>
        <v>-1249.095416265488</v>
      </c>
    </row>
    <row r="44" spans="1:40" x14ac:dyDescent="0.15">
      <c r="A44" s="31">
        <f>Q135</f>
        <v>5.0820972398253429E-2</v>
      </c>
      <c r="B44" s="3"/>
      <c r="C44" s="10"/>
      <c r="F44" s="3"/>
      <c r="G44" s="10"/>
      <c r="I44" s="14">
        <f t="shared" si="10"/>
        <v>104</v>
      </c>
      <c r="J44" s="3">
        <f t="shared" si="11"/>
        <v>40</v>
      </c>
      <c r="M44" s="26">
        <v>50</v>
      </c>
      <c r="N44" s="13">
        <f t="shared" si="0"/>
        <v>100000</v>
      </c>
      <c r="O44" s="30">
        <v>0.1</v>
      </c>
      <c r="P44" s="39">
        <f t="shared" si="25"/>
        <v>10</v>
      </c>
      <c r="Q44" s="39">
        <f t="shared" si="2"/>
        <v>1</v>
      </c>
      <c r="S44" s="43">
        <f>IFERROR(VLOOKUP(I44,'Mortality Table Latest'!$A$3:$E$123,4,FALSE)*1000*(1-$B$41),1)</f>
        <v>265.78064000000001</v>
      </c>
      <c r="U44" s="37">
        <f t="shared" si="12"/>
        <v>3.7007170073619033E-2</v>
      </c>
      <c r="V44" s="37">
        <f t="shared" si="20"/>
        <v>9.8357893467553147E-3</v>
      </c>
      <c r="X44" s="36">
        <f t="shared" si="16"/>
        <v>2.7171380726863717E-2</v>
      </c>
      <c r="Z44" s="6">
        <f t="shared" si="28"/>
        <v>0.37007170073619033</v>
      </c>
      <c r="AA44" s="6">
        <f t="shared" si="28"/>
        <v>3.7007170073619033E-2</v>
      </c>
      <c r="AB44" s="6">
        <f t="shared" si="3"/>
        <v>0.27171380726863714</v>
      </c>
      <c r="AC44" s="6">
        <f t="shared" si="4"/>
        <v>2.7171380726863717E-2</v>
      </c>
      <c r="AG44" s="6">
        <f t="shared" si="26"/>
        <v>-1.3585690363431859</v>
      </c>
      <c r="AH44" s="6">
        <f t="shared" si="14"/>
        <v>-983.57893467553151</v>
      </c>
      <c r="AI44" s="6">
        <f t="shared" si="21"/>
        <v>-984.93750371187468</v>
      </c>
      <c r="AJ44" s="6">
        <f t="shared" si="17"/>
        <v>0.12474287272508525</v>
      </c>
      <c r="AK44" s="6">
        <f t="shared" si="18"/>
        <v>1.2090242463051338E-2</v>
      </c>
      <c r="AL44" s="6">
        <f t="shared" si="27"/>
        <v>-984.80067059668659</v>
      </c>
      <c r="AM44" s="6">
        <f t="shared" si="8"/>
        <v>9.8357893467553165E-3</v>
      </c>
      <c r="AN44" s="6">
        <f t="shared" si="9"/>
        <v>-984.79083480733982</v>
      </c>
    </row>
    <row r="45" spans="1:40" x14ac:dyDescent="0.15">
      <c r="B45" s="3"/>
      <c r="C45" s="10"/>
      <c r="F45" s="3"/>
      <c r="G45" s="10"/>
      <c r="I45" s="14">
        <f t="shared" si="10"/>
        <v>105</v>
      </c>
      <c r="J45" s="3">
        <f t="shared" si="11"/>
        <v>41</v>
      </c>
      <c r="M45" s="26">
        <v>50</v>
      </c>
      <c r="N45" s="13">
        <f t="shared" si="0"/>
        <v>100000</v>
      </c>
      <c r="O45" s="30">
        <v>0.1</v>
      </c>
      <c r="P45" s="39">
        <f t="shared" si="25"/>
        <v>10</v>
      </c>
      <c r="Q45" s="39">
        <f t="shared" si="2"/>
        <v>1</v>
      </c>
      <c r="S45" s="43">
        <f>IFERROR(VLOOKUP(I45,'Mortality Table Latest'!$A$3:$E$123,4,FALSE)*1000*(1-$B$41),1)</f>
        <v>279.52084000000002</v>
      </c>
      <c r="U45" s="37">
        <f t="shared" si="12"/>
        <v>2.7171380726863717E-2</v>
      </c>
      <c r="V45" s="37">
        <f t="shared" si="20"/>
        <v>7.594967164732758E-3</v>
      </c>
      <c r="X45" s="36">
        <f t="shared" si="16"/>
        <v>1.9576413562130961E-2</v>
      </c>
      <c r="Z45" s="6">
        <f t="shared" si="28"/>
        <v>0.27171380726863714</v>
      </c>
      <c r="AA45" s="6">
        <f t="shared" si="28"/>
        <v>2.7171380726863717E-2</v>
      </c>
      <c r="AB45" s="6">
        <f t="shared" si="3"/>
        <v>0.19576413562130962</v>
      </c>
      <c r="AC45" s="6">
        <f t="shared" si="4"/>
        <v>1.9576413562130961E-2</v>
      </c>
      <c r="AG45" s="6">
        <f t="shared" si="26"/>
        <v>-0.97882067810654805</v>
      </c>
      <c r="AH45" s="6">
        <f t="shared" si="14"/>
        <v>-759.4967164732758</v>
      </c>
      <c r="AI45" s="6">
        <f t="shared" si="21"/>
        <v>-760.47553715138235</v>
      </c>
      <c r="AJ45" s="6">
        <f t="shared" si="17"/>
        <v>9.8357893467553192E-2</v>
      </c>
      <c r="AK45" s="6">
        <f t="shared" si="18"/>
        <v>8.8768900834663746E-3</v>
      </c>
      <c r="AL45" s="6">
        <f t="shared" si="27"/>
        <v>-760.36830236783135</v>
      </c>
      <c r="AM45" s="6">
        <f t="shared" si="8"/>
        <v>7.5949671647327563E-3</v>
      </c>
      <c r="AN45" s="6">
        <f t="shared" si="9"/>
        <v>-760.36070740066657</v>
      </c>
    </row>
    <row r="46" spans="1:40" x14ac:dyDescent="0.15">
      <c r="B46" s="3"/>
      <c r="C46" s="10"/>
      <c r="F46" s="3"/>
      <c r="G46" s="10"/>
      <c r="I46" s="14">
        <f t="shared" si="10"/>
        <v>106</v>
      </c>
      <c r="J46" s="3">
        <f t="shared" si="11"/>
        <v>42</v>
      </c>
      <c r="M46" s="26">
        <v>50</v>
      </c>
      <c r="N46" s="13">
        <f t="shared" si="0"/>
        <v>100000</v>
      </c>
      <c r="O46" s="30">
        <v>0.1</v>
      </c>
      <c r="P46" s="39">
        <f t="shared" si="25"/>
        <v>10</v>
      </c>
      <c r="Q46" s="39">
        <f t="shared" si="2"/>
        <v>1</v>
      </c>
      <c r="S46" s="43">
        <f>IFERROR(VLOOKUP(I46,'Mortality Table Latest'!$A$3:$E$123,4,FALSE)*1000*(1-$B$41),1)</f>
        <v>293.33372000000003</v>
      </c>
      <c r="U46" s="37">
        <f t="shared" si="12"/>
        <v>1.9576413562130961E-2</v>
      </c>
      <c r="V46" s="37">
        <f t="shared" si="20"/>
        <v>5.7424222144383261E-3</v>
      </c>
      <c r="X46" s="36">
        <f t="shared" si="16"/>
        <v>1.3833991347692635E-2</v>
      </c>
      <c r="Z46" s="6">
        <f t="shared" si="28"/>
        <v>0.19576413562130962</v>
      </c>
      <c r="AA46" s="6">
        <f t="shared" si="28"/>
        <v>1.9576413562130961E-2</v>
      </c>
      <c r="AB46" s="6">
        <f t="shared" si="3"/>
        <v>0.13833991347692637</v>
      </c>
      <c r="AC46" s="6">
        <f t="shared" si="4"/>
        <v>1.3833991347692635E-2</v>
      </c>
      <c r="AG46" s="6">
        <f t="shared" si="26"/>
        <v>-0.69169956738463179</v>
      </c>
      <c r="AH46" s="6">
        <f t="shared" si="14"/>
        <v>-574.24222144383259</v>
      </c>
      <c r="AI46" s="6">
        <f t="shared" si="21"/>
        <v>-574.93392101121719</v>
      </c>
      <c r="AJ46" s="6">
        <f t="shared" si="17"/>
        <v>7.5949671647327535E-2</v>
      </c>
      <c r="AK46" s="6">
        <f t="shared" si="18"/>
        <v>6.3956143107481859E-3</v>
      </c>
      <c r="AL46" s="6">
        <f t="shared" si="27"/>
        <v>-574.85157572525907</v>
      </c>
      <c r="AM46" s="6">
        <f t="shared" si="8"/>
        <v>5.7424222144383252E-3</v>
      </c>
      <c r="AN46" s="6">
        <f t="shared" si="9"/>
        <v>-574.84583330304463</v>
      </c>
    </row>
    <row r="47" spans="1:40" x14ac:dyDescent="0.15">
      <c r="I47" s="14">
        <f t="shared" si="10"/>
        <v>107</v>
      </c>
      <c r="J47" s="3">
        <f t="shared" si="11"/>
        <v>43</v>
      </c>
      <c r="M47" s="26">
        <v>50</v>
      </c>
      <c r="N47" s="13">
        <f t="shared" si="0"/>
        <v>100000</v>
      </c>
      <c r="O47" s="30">
        <v>0.1</v>
      </c>
      <c r="P47" s="39">
        <f t="shared" si="25"/>
        <v>10</v>
      </c>
      <c r="Q47" s="39">
        <f t="shared" si="2"/>
        <v>1</v>
      </c>
      <c r="S47" s="43">
        <f>IFERROR(VLOOKUP(I47,'Mortality Table Latest'!$A$3:$E$123,4,FALSE)*1000*(1-$B$41),1)</f>
        <v>307.24504000000002</v>
      </c>
      <c r="U47" s="37">
        <f t="shared" si="12"/>
        <v>1.3833991347692635E-2</v>
      </c>
      <c r="V47" s="37">
        <f t="shared" si="20"/>
        <v>4.2504252249814774E-3</v>
      </c>
      <c r="X47" s="36">
        <f t="shared" si="16"/>
        <v>9.5835661227111589E-3</v>
      </c>
      <c r="Z47" s="6">
        <f t="shared" si="28"/>
        <v>0.13833991347692637</v>
      </c>
      <c r="AA47" s="6">
        <f t="shared" si="28"/>
        <v>1.3833991347692635E-2</v>
      </c>
      <c r="AB47" s="6">
        <f t="shared" si="3"/>
        <v>9.5835661227111596E-2</v>
      </c>
      <c r="AC47" s="6">
        <f t="shared" si="4"/>
        <v>9.5835661227111589E-3</v>
      </c>
      <c r="AG47" s="6">
        <f t="shared" si="26"/>
        <v>-0.47917830613555795</v>
      </c>
      <c r="AH47" s="6">
        <f t="shared" si="14"/>
        <v>-425.04252249814772</v>
      </c>
      <c r="AI47" s="6">
        <f t="shared" si="21"/>
        <v>-425.52170080428328</v>
      </c>
      <c r="AJ47" s="6">
        <f t="shared" si="17"/>
        <v>5.7424222144383266E-2</v>
      </c>
      <c r="AK47" s="6">
        <f t="shared" si="18"/>
        <v>4.5195649732911848E-3</v>
      </c>
      <c r="AL47" s="6">
        <f t="shared" si="27"/>
        <v>-425.4597570171656</v>
      </c>
      <c r="AM47" s="6">
        <f t="shared" si="8"/>
        <v>4.2504252249814765E-3</v>
      </c>
      <c r="AN47" s="6">
        <f t="shared" si="9"/>
        <v>-425.4555065919406</v>
      </c>
    </row>
    <row r="48" spans="1:40" x14ac:dyDescent="0.15">
      <c r="I48" s="14">
        <f t="shared" si="10"/>
        <v>108</v>
      </c>
      <c r="J48" s="3">
        <f t="shared" si="11"/>
        <v>44</v>
      </c>
      <c r="M48" s="26">
        <v>50</v>
      </c>
      <c r="N48" s="13">
        <f t="shared" si="0"/>
        <v>100000</v>
      </c>
      <c r="O48" s="30">
        <v>0.1</v>
      </c>
      <c r="P48" s="39">
        <f t="shared" si="25"/>
        <v>10</v>
      </c>
      <c r="Q48" s="39">
        <f t="shared" si="2"/>
        <v>1</v>
      </c>
      <c r="S48" s="43">
        <f>IFERROR(VLOOKUP(I48,'Mortality Table Latest'!$A$3:$E$123,4,FALSE)*1000*(1-$B$41),1)</f>
        <v>632.88180000000011</v>
      </c>
      <c r="U48" s="37">
        <f t="shared" si="12"/>
        <v>9.5835661227111589E-3</v>
      </c>
      <c r="V48" s="37">
        <f t="shared" si="20"/>
        <v>6.0652645781604595E-3</v>
      </c>
      <c r="X48" s="36">
        <f t="shared" si="16"/>
        <v>3.5183015445506994E-3</v>
      </c>
      <c r="Z48" s="6">
        <f t="shared" si="28"/>
        <v>9.5835661227111596E-2</v>
      </c>
      <c r="AA48" s="6">
        <f t="shared" si="28"/>
        <v>9.5835661227111589E-3</v>
      </c>
      <c r="AB48" s="6">
        <f t="shared" si="3"/>
        <v>3.518301544550699E-2</v>
      </c>
      <c r="AC48" s="6">
        <f t="shared" si="4"/>
        <v>3.5183015445506994E-3</v>
      </c>
      <c r="AG48" s="6">
        <f t="shared" si="26"/>
        <v>-0.17591507722753497</v>
      </c>
      <c r="AH48" s="6">
        <f t="shared" si="14"/>
        <v>-606.52645781604599</v>
      </c>
      <c r="AI48" s="6">
        <f t="shared" si="21"/>
        <v>-606.70237289327349</v>
      </c>
      <c r="AJ48" s="6">
        <f t="shared" si="17"/>
        <v>4.2504252249814779E-2</v>
      </c>
      <c r="AK48" s="6">
        <f t="shared" si="18"/>
        <v>3.1309510522897358E-3</v>
      </c>
      <c r="AL48" s="6">
        <f t="shared" si="27"/>
        <v>-606.65673768997135</v>
      </c>
      <c r="AM48" s="6">
        <f t="shared" si="8"/>
        <v>6.0652645781604595E-3</v>
      </c>
      <c r="AN48" s="6">
        <f t="shared" si="9"/>
        <v>-606.65067242539317</v>
      </c>
    </row>
    <row r="49" spans="9:40" x14ac:dyDescent="0.15">
      <c r="I49" s="14">
        <f t="shared" si="10"/>
        <v>109</v>
      </c>
      <c r="J49" s="3">
        <f t="shared" si="11"/>
        <v>45</v>
      </c>
      <c r="M49" s="26">
        <v>50</v>
      </c>
      <c r="N49" s="13">
        <f t="shared" si="0"/>
        <v>100000</v>
      </c>
      <c r="O49" s="30">
        <v>0.1</v>
      </c>
      <c r="P49" s="39">
        <f t="shared" si="25"/>
        <v>10</v>
      </c>
      <c r="Q49" s="39">
        <f t="shared" si="2"/>
        <v>1</v>
      </c>
      <c r="S49" s="43">
        <f>IFERROR(VLOOKUP(I49,'Mortality Table Latest'!$A$3:$E$123,4,FALSE)*1000*(1-$B$41),1)</f>
        <v>660.21040000000005</v>
      </c>
      <c r="U49" s="37">
        <f t="shared" si="12"/>
        <v>3.5183015445506994E-3</v>
      </c>
      <c r="V49" s="37">
        <f t="shared" si="20"/>
        <v>2.3228192700484353E-3</v>
      </c>
      <c r="X49" s="36">
        <f t="shared" si="16"/>
        <v>1.1954822745022641E-3</v>
      </c>
      <c r="Z49" s="6">
        <f t="shared" si="28"/>
        <v>3.518301544550699E-2</v>
      </c>
      <c r="AA49" s="6">
        <f t="shared" si="28"/>
        <v>3.5183015445506994E-3</v>
      </c>
      <c r="AB49" s="6">
        <f t="shared" si="3"/>
        <v>1.1954822745022641E-2</v>
      </c>
      <c r="AC49" s="6">
        <f t="shared" si="4"/>
        <v>1.1954822745022641E-3</v>
      </c>
      <c r="AG49" s="6">
        <f t="shared" si="26"/>
        <v>-5.9774113725113209E-2</v>
      </c>
      <c r="AH49" s="6">
        <f t="shared" si="14"/>
        <v>-232.28192700484354</v>
      </c>
      <c r="AI49" s="6">
        <f t="shared" si="21"/>
        <v>-232.34170111856866</v>
      </c>
      <c r="AJ49" s="6">
        <f t="shared" si="17"/>
        <v>6.0652645781604599E-2</v>
      </c>
      <c r="AK49" s="6">
        <f t="shared" si="18"/>
        <v>1.1494291146047133E-3</v>
      </c>
      <c r="AL49" s="6">
        <f t="shared" si="27"/>
        <v>-232.27989904367246</v>
      </c>
      <c r="AM49" s="6">
        <f t="shared" si="8"/>
        <v>2.3228192700484353E-3</v>
      </c>
      <c r="AN49" s="6">
        <f t="shared" si="9"/>
        <v>-232.27757622440242</v>
      </c>
    </row>
    <row r="50" spans="9:40" x14ac:dyDescent="0.15">
      <c r="I50" s="14">
        <f t="shared" si="10"/>
        <v>110</v>
      </c>
      <c r="J50" s="3">
        <f t="shared" si="11"/>
        <v>46</v>
      </c>
      <c r="M50" s="26">
        <v>50</v>
      </c>
      <c r="N50" s="13">
        <f t="shared" si="0"/>
        <v>100000</v>
      </c>
      <c r="O50" s="30">
        <v>0.1</v>
      </c>
      <c r="P50" s="39">
        <f t="shared" si="25"/>
        <v>10</v>
      </c>
      <c r="Q50" s="39">
        <f t="shared" si="2"/>
        <v>1</v>
      </c>
      <c r="S50" s="43">
        <f>IFERROR(VLOOKUP(I50,'Mortality Table Latest'!$A$3:$E$123,4,FALSE)*1000*(1-$B$41),1)</f>
        <v>691.93935999999997</v>
      </c>
      <c r="U50" s="37">
        <f t="shared" si="12"/>
        <v>1.1954822745022641E-3</v>
      </c>
      <c r="V50" s="37">
        <f t="shared" si="20"/>
        <v>8.2720123991044097E-4</v>
      </c>
      <c r="X50" s="36">
        <f t="shared" si="16"/>
        <v>3.6828103459182315E-4</v>
      </c>
      <c r="Z50" s="6">
        <f t="shared" si="28"/>
        <v>1.1954822745022641E-2</v>
      </c>
      <c r="AA50" s="6">
        <f t="shared" si="28"/>
        <v>1.1954822745022641E-3</v>
      </c>
      <c r="AB50" s="6">
        <f t="shared" si="3"/>
        <v>3.6828103459182315E-3</v>
      </c>
      <c r="AC50" s="6">
        <f t="shared" si="4"/>
        <v>3.6828103459182315E-4</v>
      </c>
      <c r="AG50" s="6">
        <f t="shared" si="26"/>
        <v>-1.8414051729591159E-2</v>
      </c>
      <c r="AH50" s="6">
        <f t="shared" si="14"/>
        <v>-82.72012399104409</v>
      </c>
      <c r="AI50" s="6">
        <f t="shared" si="21"/>
        <v>-82.738538042773683</v>
      </c>
      <c r="AJ50" s="6">
        <f t="shared" si="17"/>
        <v>2.3228192700484353E-2</v>
      </c>
      <c r="AK50" s="6">
        <f t="shared" si="18"/>
        <v>3.9056405907988967E-4</v>
      </c>
      <c r="AL50" s="6">
        <f t="shared" si="27"/>
        <v>-82.714919286014123</v>
      </c>
      <c r="AM50" s="6">
        <f t="shared" si="8"/>
        <v>8.2720123991044097E-4</v>
      </c>
      <c r="AN50" s="6">
        <f t="shared" si="9"/>
        <v>-82.714092084774208</v>
      </c>
    </row>
    <row r="51" spans="9:40" x14ac:dyDescent="0.15">
      <c r="I51" s="14">
        <f t="shared" si="10"/>
        <v>111</v>
      </c>
      <c r="J51" s="3">
        <f t="shared" si="11"/>
        <v>47</v>
      </c>
      <c r="M51" s="26">
        <v>50</v>
      </c>
      <c r="N51" s="13">
        <f t="shared" si="0"/>
        <v>100000</v>
      </c>
      <c r="O51" s="30">
        <v>0.1</v>
      </c>
      <c r="P51" s="39">
        <f t="shared" si="25"/>
        <v>10</v>
      </c>
      <c r="Q51" s="39">
        <f t="shared" si="2"/>
        <v>1</v>
      </c>
      <c r="S51" s="43">
        <f>IFERROR(VLOOKUP(I51,'Mortality Table Latest'!$A$3:$E$123,4,FALSE)*1000*(1-$B$41),1)</f>
        <v>723.49443999999994</v>
      </c>
      <c r="U51" s="37">
        <f t="shared" si="12"/>
        <v>3.6828103459182315E-4</v>
      </c>
      <c r="V51" s="37">
        <f t="shared" si="20"/>
        <v>2.6644928088463173E-4</v>
      </c>
      <c r="X51" s="36">
        <f t="shared" si="16"/>
        <v>1.0183175370719142E-4</v>
      </c>
      <c r="Z51" s="6">
        <f t="shared" si="28"/>
        <v>3.6828103459182315E-3</v>
      </c>
      <c r="AA51" s="6">
        <f t="shared" si="28"/>
        <v>3.6828103459182315E-4</v>
      </c>
      <c r="AB51" s="6">
        <f t="shared" si="3"/>
        <v>1.0183175370719142E-3</v>
      </c>
      <c r="AC51" s="6">
        <f t="shared" si="4"/>
        <v>1.0183175370719142E-4</v>
      </c>
      <c r="AG51" s="6">
        <f t="shared" si="26"/>
        <v>-5.091587685359571E-3</v>
      </c>
      <c r="AH51" s="6">
        <f t="shared" si="14"/>
        <v>-26.644928088463171</v>
      </c>
      <c r="AI51" s="6">
        <f t="shared" si="21"/>
        <v>-26.650019676148531</v>
      </c>
      <c r="AJ51" s="6">
        <f t="shared" si="17"/>
        <v>8.2720123991044097E-3</v>
      </c>
      <c r="AK51" s="6">
        <f t="shared" si="18"/>
        <v>1.2031741400114862E-4</v>
      </c>
      <c r="AL51" s="6">
        <f t="shared" si="27"/>
        <v>-26.641627346335426</v>
      </c>
      <c r="AM51" s="6">
        <f t="shared" si="8"/>
        <v>2.6644928088463173E-4</v>
      </c>
      <c r="AN51" s="6">
        <f t="shared" si="9"/>
        <v>-26.64136089705454</v>
      </c>
    </row>
    <row r="52" spans="9:40" x14ac:dyDescent="0.15">
      <c r="I52" s="14">
        <f t="shared" si="10"/>
        <v>112</v>
      </c>
      <c r="J52" s="3">
        <f t="shared" si="11"/>
        <v>48</v>
      </c>
      <c r="M52" s="26">
        <v>50</v>
      </c>
      <c r="N52" s="13">
        <f t="shared" si="0"/>
        <v>100000</v>
      </c>
      <c r="O52" s="30">
        <v>0.1</v>
      </c>
      <c r="P52" s="39">
        <f t="shared" si="25"/>
        <v>10</v>
      </c>
      <c r="Q52" s="39">
        <f t="shared" si="2"/>
        <v>1</v>
      </c>
      <c r="S52" s="43">
        <f>IFERROR(VLOOKUP(I52,'Mortality Table Latest'!$A$3:$E$123,4,FALSE)*1000*(1-$B$41),1)</f>
        <v>754.83884</v>
      </c>
      <c r="U52" s="37">
        <f t="shared" si="12"/>
        <v>1.0183175370719142E-4</v>
      </c>
      <c r="V52" s="37">
        <f t="shared" si="20"/>
        <v>7.6866562843502076E-5</v>
      </c>
      <c r="X52" s="36">
        <f t="shared" si="16"/>
        <v>2.4965190863689344E-5</v>
      </c>
      <c r="Z52" s="6">
        <f t="shared" si="28"/>
        <v>1.0183175370719142E-3</v>
      </c>
      <c r="AA52" s="6">
        <f t="shared" si="28"/>
        <v>1.0183175370719142E-4</v>
      </c>
      <c r="AB52" s="6">
        <f t="shared" si="3"/>
        <v>2.4965190863689341E-4</v>
      </c>
      <c r="AC52" s="6">
        <f t="shared" si="4"/>
        <v>2.4965190863689344E-5</v>
      </c>
      <c r="AG52" s="6">
        <f t="shared" si="26"/>
        <v>-1.2482595431844673E-3</v>
      </c>
      <c r="AH52" s="6">
        <f t="shared" si="14"/>
        <v>-7.6866562843502075</v>
      </c>
      <c r="AI52" s="6">
        <f t="shared" si="21"/>
        <v>-7.6879045438933922</v>
      </c>
      <c r="AJ52" s="6">
        <f t="shared" si="17"/>
        <v>2.6644928088463177E-3</v>
      </c>
      <c r="AK52" s="6">
        <f t="shared" si="18"/>
        <v>3.3268433936139436E-5</v>
      </c>
      <c r="AL52" s="6">
        <f t="shared" si="27"/>
        <v>-7.6852067826506101</v>
      </c>
      <c r="AM52" s="6">
        <f t="shared" si="8"/>
        <v>7.6866562843502076E-5</v>
      </c>
      <c r="AN52" s="6">
        <f t="shared" si="9"/>
        <v>-7.6851299160877664</v>
      </c>
    </row>
    <row r="53" spans="9:40" x14ac:dyDescent="0.15">
      <c r="I53" s="14">
        <f t="shared" si="10"/>
        <v>113</v>
      </c>
      <c r="J53" s="3">
        <f t="shared" si="11"/>
        <v>49</v>
      </c>
      <c r="M53" s="26">
        <v>50</v>
      </c>
      <c r="N53" s="13">
        <f t="shared" si="0"/>
        <v>100000</v>
      </c>
      <c r="O53" s="30">
        <v>0.1</v>
      </c>
      <c r="P53" s="39">
        <f t="shared" si="25"/>
        <v>10</v>
      </c>
      <c r="Q53" s="39">
        <f t="shared" si="2"/>
        <v>1</v>
      </c>
      <c r="S53" s="43">
        <f>IFERROR(VLOOKUP(I53,'Mortality Table Latest'!$A$3:$E$123,4,FALSE)*1000*(1-$B$41),1)</f>
        <v>785.93299999999999</v>
      </c>
      <c r="U53" s="37">
        <f t="shared" si="12"/>
        <v>2.4965190863689344E-5</v>
      </c>
      <c r="V53" s="37">
        <f t="shared" si="20"/>
        <v>1.9620967351071955E-5</v>
      </c>
      <c r="X53" s="36">
        <f t="shared" si="16"/>
        <v>5.3442235126173889E-6</v>
      </c>
      <c r="Z53" s="6">
        <f t="shared" si="28"/>
        <v>2.4965190863689341E-4</v>
      </c>
      <c r="AA53" s="6">
        <f t="shared" si="28"/>
        <v>2.4965190863689344E-5</v>
      </c>
      <c r="AB53" s="6">
        <f t="shared" si="3"/>
        <v>5.3442235126173889E-5</v>
      </c>
      <c r="AC53" s="6">
        <f t="shared" ref="AC53:AC64" si="29">Q53*X53</f>
        <v>5.3442235126173889E-6</v>
      </c>
      <c r="AG53" s="6">
        <f t="shared" si="26"/>
        <v>-2.6721117563086944E-4</v>
      </c>
      <c r="AH53" s="6">
        <f t="shared" si="14"/>
        <v>-1.9620967351071956</v>
      </c>
      <c r="AI53" s="6">
        <f t="shared" si="21"/>
        <v>-1.9623639462828264</v>
      </c>
      <c r="AJ53" s="6">
        <f t="shared" si="17"/>
        <v>7.6866562843502068E-4</v>
      </c>
      <c r="AK53" s="6">
        <f t="shared" si="18"/>
        <v>8.1561278551673081E-6</v>
      </c>
      <c r="AL53" s="6">
        <f t="shared" si="27"/>
        <v>-1.9615871245265364</v>
      </c>
      <c r="AM53" s="6">
        <f t="shared" si="8"/>
        <v>1.9620967351071955E-5</v>
      </c>
      <c r="AN53" s="6">
        <f t="shared" si="9"/>
        <v>-1.9615675035591853</v>
      </c>
    </row>
    <row r="54" spans="9:40" x14ac:dyDescent="0.15">
      <c r="I54" s="14">
        <f t="shared" si="10"/>
        <v>114</v>
      </c>
      <c r="J54" s="3">
        <f t="shared" si="11"/>
        <v>50</v>
      </c>
      <c r="M54" s="26">
        <v>50</v>
      </c>
      <c r="N54" s="13">
        <f t="shared" si="0"/>
        <v>100000</v>
      </c>
      <c r="O54" s="30">
        <v>0.1</v>
      </c>
      <c r="P54" s="39">
        <f t="shared" si="25"/>
        <v>10</v>
      </c>
      <c r="Q54" s="39">
        <f t="shared" si="2"/>
        <v>1</v>
      </c>
      <c r="S54" s="43">
        <f>IFERROR(VLOOKUP(I54,'Mortality Table Latest'!$A$3:$E$123,4,FALSE)*1000*(1-$B$41),1)</f>
        <v>816.73919999999998</v>
      </c>
      <c r="U54" s="37">
        <f t="shared" si="12"/>
        <v>5.3442235126173889E-6</v>
      </c>
      <c r="V54" s="37">
        <f t="shared" si="20"/>
        <v>4.3648368363163163E-6</v>
      </c>
      <c r="X54" s="36">
        <f t="shared" si="16"/>
        <v>9.7938667630107262E-7</v>
      </c>
      <c r="Z54" s="6">
        <f t="shared" si="28"/>
        <v>5.3442235126173889E-5</v>
      </c>
      <c r="AA54" s="6">
        <f t="shared" si="28"/>
        <v>5.3442235126173889E-6</v>
      </c>
      <c r="AB54" s="6">
        <f t="shared" si="3"/>
        <v>9.7938667630107262E-6</v>
      </c>
      <c r="AC54" s="6">
        <f t="shared" si="29"/>
        <v>9.7938667630107262E-7</v>
      </c>
      <c r="AG54" s="6">
        <f t="shared" si="26"/>
        <v>-4.8969333815053627E-5</v>
      </c>
      <c r="AH54" s="6">
        <f t="shared" si="14"/>
        <v>-0.43648368363163165</v>
      </c>
      <c r="AI54" s="6">
        <f t="shared" si="21"/>
        <v>-0.43653265296544669</v>
      </c>
      <c r="AJ54" s="6">
        <f t="shared" si="17"/>
        <v>1.9620967351071959E-4</v>
      </c>
      <c r="AK54" s="6">
        <f t="shared" si="18"/>
        <v>1.7459578215721012E-6</v>
      </c>
      <c r="AL54" s="6">
        <f t="shared" si="27"/>
        <v>-0.4363346973341144</v>
      </c>
      <c r="AM54" s="6">
        <f t="shared" si="8"/>
        <v>4.3648368363163163E-6</v>
      </c>
      <c r="AN54" s="6">
        <f t="shared" si="9"/>
        <v>-0.43633033249727809</v>
      </c>
    </row>
    <row r="55" spans="9:40" x14ac:dyDescent="0.15">
      <c r="I55" s="14">
        <f t="shared" si="10"/>
        <v>115</v>
      </c>
      <c r="J55" s="3">
        <f t="shared" si="11"/>
        <v>51</v>
      </c>
      <c r="M55" s="26">
        <v>50</v>
      </c>
      <c r="N55" s="13">
        <f t="shared" si="0"/>
        <v>100000</v>
      </c>
      <c r="O55" s="30">
        <v>0.1</v>
      </c>
      <c r="P55" s="39">
        <f t="shared" si="25"/>
        <v>10</v>
      </c>
      <c r="Q55" s="39">
        <f t="shared" si="2"/>
        <v>1</v>
      </c>
      <c r="S55" s="43">
        <f>IFERROR(VLOOKUP(I55,'Mortality Table Latest'!$A$3:$E$123,4,FALSE)*1000*(1-$B$41),1)</f>
        <v>847.38715999999999</v>
      </c>
      <c r="U55" s="37">
        <f t="shared" si="12"/>
        <v>9.7938667630107262E-7</v>
      </c>
      <c r="V55" s="37">
        <f t="shared" si="20"/>
        <v>8.2991969417260516E-7</v>
      </c>
      <c r="X55" s="36">
        <f t="shared" si="16"/>
        <v>1.4946698212846746E-7</v>
      </c>
      <c r="Z55" s="6">
        <f t="shared" si="28"/>
        <v>9.7938667630107262E-6</v>
      </c>
      <c r="AA55" s="6">
        <f t="shared" si="28"/>
        <v>9.7938667630107262E-7</v>
      </c>
      <c r="AB55" s="6">
        <f t="shared" si="3"/>
        <v>1.4946698212846746E-6</v>
      </c>
      <c r="AC55" s="6">
        <f t="shared" si="29"/>
        <v>1.4946698212846746E-7</v>
      </c>
      <c r="AG55" s="6">
        <f t="shared" si="26"/>
        <v>-7.4733491064233735E-6</v>
      </c>
      <c r="AH55" s="6">
        <f t="shared" si="14"/>
        <v>-8.2991969417260517E-2</v>
      </c>
      <c r="AI55" s="6">
        <f t="shared" si="21"/>
        <v>-8.2999442766366935E-2</v>
      </c>
      <c r="AJ55" s="6">
        <f t="shared" si="17"/>
        <v>4.3648368363163167E-5</v>
      </c>
      <c r="AK55" s="6">
        <f t="shared" si="18"/>
        <v>3.1996562714756044E-7</v>
      </c>
      <c r="AL55" s="6">
        <f t="shared" si="27"/>
        <v>-8.2955474432376622E-2</v>
      </c>
      <c r="AM55" s="6">
        <f t="shared" si="8"/>
        <v>8.2991969417260516E-7</v>
      </c>
      <c r="AN55" s="6">
        <f t="shared" si="9"/>
        <v>-8.2954644512682446E-2</v>
      </c>
    </row>
    <row r="56" spans="9:40" x14ac:dyDescent="0.15">
      <c r="I56" s="14">
        <f t="shared" si="10"/>
        <v>116</v>
      </c>
      <c r="J56" s="3">
        <f t="shared" si="11"/>
        <v>52</v>
      </c>
      <c r="M56" s="26">
        <v>50</v>
      </c>
      <c r="N56" s="13">
        <f t="shared" si="0"/>
        <v>100000</v>
      </c>
      <c r="O56" s="30">
        <v>0.1</v>
      </c>
      <c r="P56" s="39">
        <f t="shared" si="25"/>
        <v>10</v>
      </c>
      <c r="Q56" s="39">
        <f t="shared" si="2"/>
        <v>1</v>
      </c>
      <c r="S56" s="43">
        <f>IFERROR(VLOOKUP(I56,'Mortality Table Latest'!$A$3:$E$123,4,FALSE)*1000*(1-$B$41),1)</f>
        <v>878.03603999999996</v>
      </c>
      <c r="U56" s="37">
        <f t="shared" si="12"/>
        <v>1.4946698212846746E-7</v>
      </c>
      <c r="V56" s="37">
        <f t="shared" si="20"/>
        <v>1.3123739709883033E-7</v>
      </c>
      <c r="X56" s="36">
        <f t="shared" si="16"/>
        <v>1.8229585029637129E-8</v>
      </c>
      <c r="Z56" s="6">
        <f t="shared" si="28"/>
        <v>1.4946698212846746E-6</v>
      </c>
      <c r="AA56" s="6">
        <f t="shared" si="28"/>
        <v>1.4946698212846746E-7</v>
      </c>
      <c r="AB56" s="6">
        <f t="shared" si="3"/>
        <v>1.8229585029637129E-7</v>
      </c>
      <c r="AC56" s="6">
        <f t="shared" si="29"/>
        <v>1.8229585029637129E-8</v>
      </c>
      <c r="AG56" s="6">
        <f t="shared" si="26"/>
        <v>-9.1147925148185639E-7</v>
      </c>
      <c r="AH56" s="6">
        <f t="shared" si="14"/>
        <v>-1.3123739709883033E-2</v>
      </c>
      <c r="AI56" s="6">
        <f t="shared" si="21"/>
        <v>-1.3124651189134515E-2</v>
      </c>
      <c r="AJ56" s="6">
        <f t="shared" si="17"/>
        <v>8.2991969417260511E-6</v>
      </c>
      <c r="AK56" s="6">
        <f t="shared" si="18"/>
        <v>4.8830863061370318E-8</v>
      </c>
      <c r="AL56" s="6">
        <f t="shared" si="27"/>
        <v>-1.3116303161329727E-2</v>
      </c>
      <c r="AM56" s="6">
        <f t="shared" si="8"/>
        <v>1.3123739709883033E-7</v>
      </c>
      <c r="AN56" s="6">
        <f t="shared" si="9"/>
        <v>-1.3116171923932628E-2</v>
      </c>
    </row>
    <row r="57" spans="9:40" x14ac:dyDescent="0.15">
      <c r="I57" s="14">
        <f t="shared" si="10"/>
        <v>117</v>
      </c>
      <c r="J57" s="3">
        <f t="shared" si="11"/>
        <v>53</v>
      </c>
      <c r="M57" s="26">
        <v>50</v>
      </c>
      <c r="N57" s="13">
        <f t="shared" si="0"/>
        <v>100000</v>
      </c>
      <c r="O57" s="30">
        <v>0.1</v>
      </c>
      <c r="P57" s="39">
        <f t="shared" si="25"/>
        <v>10</v>
      </c>
      <c r="Q57" s="39">
        <f t="shared" si="2"/>
        <v>1</v>
      </c>
      <c r="S57" s="43">
        <f>IFERROR(VLOOKUP(I57,'Mortality Table Latest'!$A$3:$E$123,4,FALSE)*1000*(1-$B$41),1)</f>
        <v>908.68400000000008</v>
      </c>
      <c r="U57" s="37">
        <f t="shared" si="12"/>
        <v>1.8229585029637129E-8</v>
      </c>
      <c r="V57" s="37">
        <f t="shared" si="20"/>
        <v>1.6564932243070786E-8</v>
      </c>
      <c r="X57" s="36">
        <f t="shared" si="16"/>
        <v>1.6646527865663425E-9</v>
      </c>
      <c r="Z57" s="6">
        <f t="shared" si="28"/>
        <v>1.8229585029637129E-7</v>
      </c>
      <c r="AA57" s="6">
        <f t="shared" si="28"/>
        <v>1.8229585029637129E-8</v>
      </c>
      <c r="AB57" s="6">
        <f t="shared" si="3"/>
        <v>1.6646527865663425E-8</v>
      </c>
      <c r="AC57" s="6">
        <f t="shared" si="29"/>
        <v>1.6646527865663425E-9</v>
      </c>
      <c r="AG57" s="6">
        <f t="shared" si="26"/>
        <v>-8.3232639328317119E-8</v>
      </c>
      <c r="AH57" s="6">
        <f t="shared" si="14"/>
        <v>-1.6564932243070785E-3</v>
      </c>
      <c r="AI57" s="6">
        <f t="shared" si="21"/>
        <v>-1.6565764569464068E-3</v>
      </c>
      <c r="AJ57" s="6">
        <f t="shared" si="17"/>
        <v>1.3123739709883036E-6</v>
      </c>
      <c r="AK57" s="6">
        <f t="shared" si="18"/>
        <v>5.9556054291824502E-9</v>
      </c>
      <c r="AL57" s="6">
        <f t="shared" si="27"/>
        <v>-1.6552581273699893E-3</v>
      </c>
      <c r="AM57" s="6">
        <f t="shared" si="8"/>
        <v>1.6564932243070786E-8</v>
      </c>
      <c r="AN57" s="6">
        <f t="shared" si="9"/>
        <v>-1.6552415624377461E-3</v>
      </c>
    </row>
    <row r="58" spans="9:40" x14ac:dyDescent="0.15">
      <c r="I58" s="14">
        <f t="shared" si="10"/>
        <v>118</v>
      </c>
      <c r="J58" s="3">
        <f t="shared" si="11"/>
        <v>54</v>
      </c>
      <c r="M58" s="26">
        <v>50</v>
      </c>
      <c r="N58" s="13">
        <f t="shared" si="0"/>
        <v>100000</v>
      </c>
      <c r="O58" s="30">
        <v>0.1</v>
      </c>
      <c r="P58" s="39">
        <f t="shared" si="25"/>
        <v>10</v>
      </c>
      <c r="Q58" s="39">
        <f t="shared" si="2"/>
        <v>1</v>
      </c>
      <c r="S58" s="43">
        <f>IFERROR(VLOOKUP(I58,'Mortality Table Latest'!$A$3:$E$123,4,FALSE)*1000*(1-$B$41),1)</f>
        <v>920</v>
      </c>
      <c r="U58" s="37">
        <f t="shared" si="12"/>
        <v>1.6646527865663425E-9</v>
      </c>
      <c r="V58" s="37">
        <f t="shared" si="20"/>
        <v>1.5314805636410352E-9</v>
      </c>
      <c r="X58" s="36">
        <f t="shared" si="16"/>
        <v>1.3317222292530731E-10</v>
      </c>
      <c r="Z58" s="6">
        <f t="shared" si="28"/>
        <v>1.6646527865663425E-8</v>
      </c>
      <c r="AA58" s="6">
        <f t="shared" si="28"/>
        <v>1.6646527865663425E-9</v>
      </c>
      <c r="AB58" s="6">
        <f t="shared" si="3"/>
        <v>1.3317222292530731E-9</v>
      </c>
      <c r="AC58" s="6">
        <f t="shared" si="29"/>
        <v>1.3317222292530731E-10</v>
      </c>
      <c r="AG58" s="6">
        <f t="shared" si="26"/>
        <v>-6.6586111462653651E-9</v>
      </c>
      <c r="AH58" s="6">
        <f t="shared" si="14"/>
        <v>-1.5314805636410352E-4</v>
      </c>
      <c r="AI58" s="6">
        <f t="shared" si="21"/>
        <v>-1.5315471497524979E-4</v>
      </c>
      <c r="AJ58" s="6">
        <f t="shared" si="17"/>
        <v>1.6564932243070787E-7</v>
      </c>
      <c r="AK58" s="6">
        <f t="shared" si="18"/>
        <v>5.4384206537122413E-10</v>
      </c>
      <c r="AL58" s="6">
        <f t="shared" si="27"/>
        <v>-1.5298852181075371E-4</v>
      </c>
      <c r="AM58" s="6">
        <f t="shared" si="8"/>
        <v>1.5314805636410352E-9</v>
      </c>
      <c r="AN58" s="6">
        <f t="shared" si="9"/>
        <v>-1.5298699033019006E-4</v>
      </c>
    </row>
    <row r="59" spans="9:40" x14ac:dyDescent="0.15">
      <c r="I59" s="14">
        <f t="shared" si="10"/>
        <v>119</v>
      </c>
      <c r="J59" s="3">
        <f t="shared" si="11"/>
        <v>55</v>
      </c>
      <c r="M59" s="26">
        <v>50</v>
      </c>
      <c r="N59" s="13">
        <f t="shared" si="0"/>
        <v>100000</v>
      </c>
      <c r="O59" s="30">
        <v>0.1</v>
      </c>
      <c r="P59" s="39">
        <f t="shared" si="25"/>
        <v>10</v>
      </c>
      <c r="Q59" s="39">
        <f t="shared" si="2"/>
        <v>1</v>
      </c>
      <c r="S59" s="43">
        <f>IFERROR(VLOOKUP(I59,'Mortality Table Latest'!$A$3:$E$123,4,FALSE)*1000*(1-$B$41),1)</f>
        <v>920</v>
      </c>
      <c r="U59" s="37">
        <f t="shared" si="12"/>
        <v>1.3317222292530731E-10</v>
      </c>
      <c r="V59" s="37">
        <f t="shared" si="20"/>
        <v>1.2251844509128272E-10</v>
      </c>
      <c r="X59" s="36">
        <f t="shared" si="16"/>
        <v>1.0653777834024588E-11</v>
      </c>
      <c r="Z59" s="6">
        <f t="shared" si="28"/>
        <v>1.3317222292530731E-9</v>
      </c>
      <c r="AA59" s="6">
        <f t="shared" si="28"/>
        <v>1.3317222292530731E-10</v>
      </c>
      <c r="AB59" s="6">
        <f t="shared" si="3"/>
        <v>1.0653777834024588E-10</v>
      </c>
      <c r="AC59" s="6">
        <f t="shared" si="29"/>
        <v>1.0653777834024588E-11</v>
      </c>
      <c r="AG59" s="6">
        <f t="shared" si="26"/>
        <v>-5.3268889170122945E-10</v>
      </c>
      <c r="AH59" s="6">
        <f t="shared" si="14"/>
        <v>-1.2251844509128273E-5</v>
      </c>
      <c r="AI59" s="6">
        <f t="shared" si="21"/>
        <v>-1.2252377198019974E-5</v>
      </c>
      <c r="AJ59" s="6">
        <f t="shared" si="17"/>
        <v>1.5314805636410353E-8</v>
      </c>
      <c r="AK59" s="6">
        <f t="shared" si="18"/>
        <v>4.3507365229697902E-11</v>
      </c>
      <c r="AL59" s="6">
        <f t="shared" si="27"/>
        <v>-1.2237018885018334E-5</v>
      </c>
      <c r="AM59" s="6">
        <f t="shared" si="8"/>
        <v>1.2251844509128272E-10</v>
      </c>
      <c r="AN59" s="6">
        <f t="shared" si="9"/>
        <v>-1.2236896366573243E-5</v>
      </c>
    </row>
    <row r="60" spans="9:40" x14ac:dyDescent="0.15">
      <c r="I60" s="14">
        <f t="shared" si="10"/>
        <v>120</v>
      </c>
      <c r="J60" s="3">
        <f t="shared" si="11"/>
        <v>56</v>
      </c>
      <c r="M60" s="26">
        <v>50</v>
      </c>
      <c r="N60" s="13">
        <f t="shared" si="0"/>
        <v>100000</v>
      </c>
      <c r="O60" s="30">
        <v>0.1</v>
      </c>
      <c r="P60" s="39">
        <f t="shared" si="25"/>
        <v>10</v>
      </c>
      <c r="Q60" s="39">
        <f t="shared" si="2"/>
        <v>1</v>
      </c>
      <c r="S60" s="43">
        <f>IFERROR(VLOOKUP(I60,'Mortality Table Latest'!$A$3:$E$123,4,FALSE)*1000*(1-$B$41),1000)</f>
        <v>0</v>
      </c>
      <c r="U60" s="37">
        <f t="shared" si="12"/>
        <v>1.0653777834024588E-11</v>
      </c>
      <c r="V60" s="37">
        <f t="shared" si="20"/>
        <v>0</v>
      </c>
      <c r="X60" s="36">
        <f t="shared" si="16"/>
        <v>1.0653777834024588E-11</v>
      </c>
      <c r="Z60" s="6">
        <f t="shared" si="28"/>
        <v>1.0653777834024588E-10</v>
      </c>
      <c r="AA60" s="6">
        <f t="shared" si="28"/>
        <v>1.0653777834024588E-11</v>
      </c>
      <c r="AB60" s="6">
        <f t="shared" si="3"/>
        <v>1.0653777834024588E-10</v>
      </c>
      <c r="AC60" s="6">
        <f t="shared" si="29"/>
        <v>1.0653777834024588E-11</v>
      </c>
      <c r="AG60" s="6">
        <f t="shared" si="26"/>
        <v>-5.3268889170122945E-10</v>
      </c>
      <c r="AH60" s="6">
        <f t="shared" si="14"/>
        <v>0</v>
      </c>
      <c r="AI60" s="6">
        <f t="shared" si="21"/>
        <v>-5.3268889170122945E-10</v>
      </c>
      <c r="AJ60" s="6">
        <f t="shared" si="17"/>
        <v>1.2251844509128272E-9</v>
      </c>
      <c r="AK60" s="6">
        <f t="shared" si="18"/>
        <v>3.4805892183758328E-12</v>
      </c>
      <c r="AL60" s="6">
        <f t="shared" si="27"/>
        <v>6.9597614842997358E-10</v>
      </c>
      <c r="AM60" s="6">
        <f t="shared" si="8"/>
        <v>0</v>
      </c>
      <c r="AN60" s="6">
        <f t="shared" si="9"/>
        <v>6.9597614842997358E-10</v>
      </c>
    </row>
    <row r="61" spans="9:40" x14ac:dyDescent="0.15">
      <c r="I61" s="14">
        <f t="shared" si="10"/>
        <v>121</v>
      </c>
      <c r="J61" s="3">
        <f t="shared" si="11"/>
        <v>57</v>
      </c>
      <c r="M61" s="26">
        <v>50</v>
      </c>
      <c r="N61" s="13">
        <f t="shared" si="0"/>
        <v>100000</v>
      </c>
      <c r="O61" s="30">
        <v>0.1</v>
      </c>
      <c r="P61" s="39">
        <f t="shared" si="25"/>
        <v>10</v>
      </c>
      <c r="Q61" s="39">
        <f t="shared" si="2"/>
        <v>1</v>
      </c>
      <c r="S61" s="43">
        <f>IFERROR(VLOOKUP(I61,'Mortality Table Latest'!$A$3:$E$123,4,FALSE)*1000*(1-$B$41),1000)</f>
        <v>1000</v>
      </c>
      <c r="U61" s="37">
        <f t="shared" si="12"/>
        <v>1.0653777834024588E-11</v>
      </c>
      <c r="V61" s="37">
        <f t="shared" si="20"/>
        <v>1.0653777834024588E-11</v>
      </c>
      <c r="X61" s="36">
        <f t="shared" si="16"/>
        <v>0</v>
      </c>
      <c r="Z61" s="6">
        <f t="shared" si="28"/>
        <v>1.0653777834024588E-10</v>
      </c>
      <c r="AA61" s="6">
        <f t="shared" si="28"/>
        <v>1.0653777834024588E-11</v>
      </c>
      <c r="AB61" s="6">
        <f t="shared" si="3"/>
        <v>0</v>
      </c>
      <c r="AC61" s="6">
        <f t="shared" si="29"/>
        <v>0</v>
      </c>
      <c r="AG61" s="6">
        <f>IFERROR(-$X61*M61,0)</f>
        <v>0</v>
      </c>
      <c r="AH61" s="6">
        <f t="shared" si="14"/>
        <v>-1.0653777834024588E-6</v>
      </c>
      <c r="AI61" s="6">
        <f t="shared" si="21"/>
        <v>-1.0653777834024588E-6</v>
      </c>
      <c r="AJ61" s="6">
        <f t="shared" si="17"/>
        <v>0</v>
      </c>
      <c r="AK61" s="6">
        <f t="shared" si="18"/>
        <v>3.4805892183758328E-12</v>
      </c>
      <c r="AL61" s="6">
        <f t="shared" si="27"/>
        <v>-1.0653743028132405E-6</v>
      </c>
      <c r="AM61" s="6">
        <f t="shared" si="8"/>
        <v>1.0653777834024588E-11</v>
      </c>
      <c r="AN61" s="6">
        <f t="shared" si="9"/>
        <v>-1.0653636490354066E-6</v>
      </c>
    </row>
    <row r="62" spans="9:40" x14ac:dyDescent="0.15">
      <c r="I62" s="14">
        <f t="shared" si="10"/>
        <v>122</v>
      </c>
      <c r="J62" s="3">
        <f t="shared" si="11"/>
        <v>58</v>
      </c>
      <c r="M62" s="26">
        <v>50</v>
      </c>
      <c r="N62" s="13">
        <f t="shared" si="0"/>
        <v>100000</v>
      </c>
      <c r="O62" s="30">
        <v>0.1</v>
      </c>
      <c r="P62" s="39">
        <f t="shared" si="25"/>
        <v>10</v>
      </c>
      <c r="Q62" s="39">
        <f t="shared" si="2"/>
        <v>1</v>
      </c>
      <c r="S62" s="43">
        <f>IFERROR(VLOOKUP(I62,'Mortality Table Latest'!$A$3:$E$123,4,FALSE)*1000*(1-$B$41),1000)</f>
        <v>1000</v>
      </c>
      <c r="U62" s="37">
        <f t="shared" si="12"/>
        <v>0</v>
      </c>
      <c r="V62" s="37">
        <f t="shared" si="20"/>
        <v>0</v>
      </c>
      <c r="X62" s="36">
        <f t="shared" si="16"/>
        <v>0</v>
      </c>
      <c r="Z62" s="6">
        <f t="shared" si="28"/>
        <v>0</v>
      </c>
      <c r="AA62" s="6">
        <f t="shared" si="28"/>
        <v>0</v>
      </c>
      <c r="AB62" s="6">
        <f t="shared" si="3"/>
        <v>0</v>
      </c>
      <c r="AC62" s="6">
        <f t="shared" si="29"/>
        <v>0</v>
      </c>
      <c r="AG62" s="6">
        <f t="shared" ref="AG62:AG64" si="30">IFERROR(-$X62*M62,0)</f>
        <v>0</v>
      </c>
      <c r="AH62" s="6">
        <f t="shared" si="14"/>
        <v>0</v>
      </c>
      <c r="AI62" s="6">
        <f t="shared" si="21"/>
        <v>0</v>
      </c>
      <c r="AJ62" s="6">
        <f t="shared" si="17"/>
        <v>1.0653777834024588E-10</v>
      </c>
      <c r="AK62" s="6">
        <f t="shared" si="18"/>
        <v>0</v>
      </c>
      <c r="AL62" s="6">
        <f t="shared" si="27"/>
        <v>1.0653777834024588E-10</v>
      </c>
      <c r="AM62" s="6">
        <f t="shared" si="8"/>
        <v>0</v>
      </c>
      <c r="AN62" s="6">
        <f t="shared" si="9"/>
        <v>1.0653777834024588E-10</v>
      </c>
    </row>
    <row r="63" spans="9:40" x14ac:dyDescent="0.15">
      <c r="I63" s="14">
        <f t="shared" si="10"/>
        <v>123</v>
      </c>
      <c r="J63" s="3">
        <f t="shared" si="11"/>
        <v>59</v>
      </c>
      <c r="M63" s="26">
        <v>50</v>
      </c>
      <c r="N63" s="13">
        <f t="shared" si="0"/>
        <v>100000</v>
      </c>
      <c r="O63" s="30">
        <v>0.1</v>
      </c>
      <c r="P63" s="39">
        <f t="shared" si="25"/>
        <v>10</v>
      </c>
      <c r="Q63" s="39">
        <f t="shared" si="2"/>
        <v>1</v>
      </c>
      <c r="S63" s="43">
        <f>IFERROR(VLOOKUP(I63,'Mortality Table Latest'!$A$3:$E$123,4,FALSE)*1000*(1-$B$41),1000)</f>
        <v>1000</v>
      </c>
      <c r="U63" s="37">
        <f t="shared" si="12"/>
        <v>0</v>
      </c>
      <c r="V63" s="37">
        <f t="shared" si="20"/>
        <v>0</v>
      </c>
      <c r="X63" s="36">
        <f t="shared" si="16"/>
        <v>0</v>
      </c>
      <c r="Z63" s="6">
        <f t="shared" si="28"/>
        <v>0</v>
      </c>
      <c r="AA63" s="6">
        <f t="shared" si="28"/>
        <v>0</v>
      </c>
      <c r="AB63" s="6">
        <f t="shared" si="3"/>
        <v>0</v>
      </c>
      <c r="AC63" s="6">
        <f t="shared" si="29"/>
        <v>0</v>
      </c>
      <c r="AG63" s="6">
        <f t="shared" si="30"/>
        <v>0</v>
      </c>
      <c r="AH63" s="6">
        <f t="shared" si="14"/>
        <v>0</v>
      </c>
      <c r="AI63" s="6">
        <f t="shared" si="21"/>
        <v>0</v>
      </c>
      <c r="AJ63" s="6">
        <f t="shared" si="17"/>
        <v>0</v>
      </c>
      <c r="AK63" s="6">
        <f t="shared" si="18"/>
        <v>0</v>
      </c>
      <c r="AL63" s="6">
        <f t="shared" si="27"/>
        <v>0</v>
      </c>
      <c r="AM63" s="6">
        <f t="shared" si="8"/>
        <v>0</v>
      </c>
      <c r="AN63" s="6">
        <f t="shared" si="9"/>
        <v>0</v>
      </c>
    </row>
    <row r="64" spans="9:40" x14ac:dyDescent="0.15">
      <c r="I64" s="14">
        <f t="shared" si="10"/>
        <v>124</v>
      </c>
      <c r="J64" s="3">
        <f t="shared" si="11"/>
        <v>60</v>
      </c>
      <c r="M64" s="26">
        <v>50</v>
      </c>
      <c r="N64" s="13">
        <f t="shared" si="0"/>
        <v>100000</v>
      </c>
      <c r="O64" s="30">
        <v>0.1</v>
      </c>
      <c r="P64" s="39">
        <f t="shared" si="25"/>
        <v>10</v>
      </c>
      <c r="Q64" s="39">
        <f t="shared" si="2"/>
        <v>1</v>
      </c>
      <c r="S64" s="43">
        <f>IFERROR(VLOOKUP(I64,'Mortality Table Latest'!$A$3:$E$123,4,FALSE)*1000*(1-$B$41),1000)</f>
        <v>1000</v>
      </c>
      <c r="U64" s="37">
        <f t="shared" si="12"/>
        <v>0</v>
      </c>
      <c r="V64" s="37">
        <f t="shared" si="20"/>
        <v>0</v>
      </c>
      <c r="X64" s="36">
        <f t="shared" si="16"/>
        <v>0</v>
      </c>
      <c r="Z64" s="6">
        <f t="shared" si="28"/>
        <v>0</v>
      </c>
      <c r="AA64" s="6">
        <f t="shared" si="28"/>
        <v>0</v>
      </c>
      <c r="AB64" s="6">
        <f t="shared" si="3"/>
        <v>0</v>
      </c>
      <c r="AC64" s="6">
        <f t="shared" si="29"/>
        <v>0</v>
      </c>
      <c r="AG64" s="6">
        <f t="shared" si="30"/>
        <v>0</v>
      </c>
      <c r="AH64" s="6">
        <f t="shared" si="14"/>
        <v>0</v>
      </c>
      <c r="AI64" s="6">
        <f t="shared" si="21"/>
        <v>0</v>
      </c>
      <c r="AJ64" s="6">
        <f t="shared" si="17"/>
        <v>0</v>
      </c>
      <c r="AK64" s="6">
        <f t="shared" si="18"/>
        <v>0</v>
      </c>
      <c r="AL64" s="6">
        <f t="shared" si="27"/>
        <v>0</v>
      </c>
      <c r="AM64" s="6">
        <f t="shared" si="8"/>
        <v>0</v>
      </c>
      <c r="AN64" s="6">
        <f t="shared" si="9"/>
        <v>0</v>
      </c>
    </row>
    <row r="65" spans="9:40" x14ac:dyDescent="0.15">
      <c r="I65" s="14"/>
      <c r="J65" s="3"/>
      <c r="M65" s="26"/>
      <c r="N65" s="13"/>
      <c r="O65" s="30"/>
      <c r="P65" s="39"/>
      <c r="Q65" s="39">
        <f t="shared" si="2"/>
        <v>0</v>
      </c>
      <c r="S65" s="43"/>
      <c r="U65" s="37"/>
      <c r="V65" s="37"/>
      <c r="X65" s="36"/>
      <c r="Z65" s="6"/>
      <c r="AA65" s="6"/>
      <c r="AB65" s="6"/>
      <c r="AC65" s="6"/>
      <c r="AG65" s="6"/>
      <c r="AH65" s="6"/>
      <c r="AI65" s="6"/>
      <c r="AJ65" s="6"/>
      <c r="AK65" s="6"/>
      <c r="AL65" s="6"/>
      <c r="AM65" s="6"/>
      <c r="AN65" s="6"/>
    </row>
    <row r="66" spans="9:40" x14ac:dyDescent="0.15">
      <c r="I66" s="14"/>
      <c r="J66" s="3"/>
      <c r="M66" s="26"/>
      <c r="N66" s="13"/>
      <c r="O66" s="30"/>
      <c r="P66" s="39"/>
      <c r="Q66" s="39">
        <f t="shared" si="2"/>
        <v>0</v>
      </c>
      <c r="S66" s="43"/>
      <c r="U66" s="37"/>
      <c r="V66" s="37"/>
      <c r="X66" s="36"/>
      <c r="Z66" s="6"/>
      <c r="AA66" s="6"/>
      <c r="AB66" s="6"/>
      <c r="AC66" s="6"/>
      <c r="AG66" s="6"/>
      <c r="AH66" s="6"/>
      <c r="AI66" s="6"/>
      <c r="AJ66" s="6"/>
      <c r="AK66" s="6"/>
      <c r="AL66" s="6"/>
      <c r="AM66" s="6"/>
      <c r="AN66" s="6"/>
    </row>
    <row r="67" spans="9:40" x14ac:dyDescent="0.15">
      <c r="I67" s="14"/>
      <c r="J67" s="3"/>
      <c r="M67" s="26"/>
      <c r="N67" s="13"/>
      <c r="O67" s="30"/>
      <c r="P67" s="39"/>
      <c r="Q67" s="39">
        <f t="shared" si="2"/>
        <v>0</v>
      </c>
      <c r="S67" s="43"/>
      <c r="U67" s="37"/>
      <c r="V67" s="37"/>
      <c r="X67" s="36"/>
      <c r="Z67" s="6"/>
      <c r="AA67" s="6"/>
      <c r="AB67" s="6"/>
      <c r="AC67" s="6"/>
      <c r="AG67" s="6"/>
      <c r="AH67" s="6"/>
      <c r="AI67" s="6"/>
      <c r="AJ67" s="6"/>
      <c r="AK67" s="6"/>
      <c r="AL67" s="6"/>
      <c r="AM67" s="6"/>
      <c r="AN67" s="6"/>
    </row>
    <row r="68" spans="9:40" x14ac:dyDescent="0.15">
      <c r="I68" s="14"/>
      <c r="J68" s="3"/>
      <c r="M68" s="26"/>
      <c r="N68" s="13"/>
      <c r="O68" s="30"/>
      <c r="P68" s="39"/>
      <c r="Q68" s="39">
        <f t="shared" si="2"/>
        <v>0</v>
      </c>
      <c r="S68" s="43"/>
      <c r="U68" s="37"/>
      <c r="V68" s="37"/>
      <c r="X68" s="36"/>
      <c r="Z68" s="6"/>
      <c r="AA68" s="6"/>
      <c r="AB68" s="6"/>
      <c r="AC68" s="6"/>
      <c r="AG68" s="6"/>
      <c r="AH68" s="6"/>
      <c r="AI68" s="6"/>
      <c r="AJ68" s="6"/>
      <c r="AK68" s="6"/>
      <c r="AL68" s="6"/>
      <c r="AM68" s="6"/>
      <c r="AN68" s="6"/>
    </row>
    <row r="69" spans="9:40" x14ac:dyDescent="0.15">
      <c r="I69" s="14"/>
      <c r="J69" s="3"/>
      <c r="M69" s="26"/>
      <c r="N69" s="13"/>
      <c r="O69" s="30"/>
      <c r="P69" s="39"/>
      <c r="Q69" s="39">
        <f t="shared" ref="Q69:Q76" si="31">$H$14*N69/1000</f>
        <v>0</v>
      </c>
      <c r="S69" s="43"/>
      <c r="U69" s="37"/>
      <c r="V69" s="37"/>
      <c r="X69" s="36"/>
      <c r="Z69" s="6"/>
      <c r="AA69" s="6"/>
      <c r="AB69" s="6"/>
      <c r="AC69" s="6"/>
      <c r="AG69" s="6"/>
      <c r="AH69" s="6"/>
      <c r="AI69" s="6"/>
      <c r="AJ69" s="6"/>
      <c r="AK69" s="6"/>
      <c r="AL69" s="6"/>
      <c r="AM69" s="6"/>
      <c r="AN69" s="6"/>
    </row>
    <row r="70" spans="9:40" x14ac:dyDescent="0.15">
      <c r="I70" s="14"/>
      <c r="J70" s="3"/>
      <c r="M70" s="26"/>
      <c r="N70" s="13"/>
      <c r="O70" s="30"/>
      <c r="P70" s="39"/>
      <c r="Q70" s="39">
        <f t="shared" si="31"/>
        <v>0</v>
      </c>
      <c r="S70" s="43"/>
      <c r="U70" s="37"/>
      <c r="V70" s="37"/>
      <c r="X70" s="36"/>
      <c r="Z70" s="6"/>
      <c r="AA70" s="6"/>
      <c r="AB70" s="6"/>
      <c r="AC70" s="6"/>
      <c r="AG70" s="6"/>
      <c r="AH70" s="6"/>
      <c r="AI70" s="6"/>
      <c r="AJ70" s="6"/>
      <c r="AK70" s="6"/>
      <c r="AL70" s="6"/>
      <c r="AM70" s="6"/>
      <c r="AN70" s="6"/>
    </row>
    <row r="71" spans="9:40" x14ac:dyDescent="0.15">
      <c r="I71" s="14"/>
      <c r="J71" s="3"/>
      <c r="M71" s="26"/>
      <c r="N71" s="13"/>
      <c r="O71" s="30"/>
      <c r="P71" s="39"/>
      <c r="Q71" s="39">
        <f t="shared" si="31"/>
        <v>0</v>
      </c>
      <c r="S71" s="43"/>
      <c r="U71" s="37"/>
      <c r="V71" s="37"/>
      <c r="X71" s="36"/>
      <c r="Z71" s="6"/>
      <c r="AA71" s="6"/>
      <c r="AB71" s="6"/>
      <c r="AC71" s="6"/>
      <c r="AG71" s="6"/>
      <c r="AH71" s="6"/>
      <c r="AI71" s="6"/>
      <c r="AJ71" s="6"/>
      <c r="AK71" s="6"/>
      <c r="AL71" s="6"/>
      <c r="AM71" s="6"/>
      <c r="AN71" s="6"/>
    </row>
    <row r="72" spans="9:40" x14ac:dyDescent="0.15">
      <c r="I72" s="14"/>
      <c r="J72" s="3"/>
      <c r="M72" s="26"/>
      <c r="N72" s="13"/>
      <c r="O72" s="30"/>
      <c r="P72" s="39"/>
      <c r="Q72" s="39">
        <f t="shared" si="31"/>
        <v>0</v>
      </c>
      <c r="S72" s="43"/>
      <c r="U72" s="37"/>
      <c r="V72" s="37"/>
      <c r="X72" s="36"/>
      <c r="Z72" s="6"/>
      <c r="AA72" s="6"/>
      <c r="AB72" s="6"/>
      <c r="AC72" s="6"/>
      <c r="AG72" s="6"/>
      <c r="AH72" s="6"/>
      <c r="AI72" s="6"/>
      <c r="AJ72" s="6"/>
      <c r="AK72" s="6"/>
      <c r="AL72" s="6"/>
      <c r="AM72" s="6"/>
      <c r="AN72" s="6"/>
    </row>
    <row r="73" spans="9:40" x14ac:dyDescent="0.15">
      <c r="I73" s="14"/>
      <c r="J73" s="3"/>
      <c r="M73" s="26"/>
      <c r="N73" s="13"/>
      <c r="O73" s="30"/>
      <c r="P73" s="39"/>
      <c r="Q73" s="39">
        <f t="shared" si="31"/>
        <v>0</v>
      </c>
      <c r="S73" s="43"/>
      <c r="U73" s="37"/>
      <c r="V73" s="37"/>
      <c r="X73" s="36"/>
      <c r="Z73" s="6"/>
      <c r="AA73" s="6"/>
      <c r="AB73" s="6"/>
      <c r="AC73" s="6"/>
      <c r="AG73" s="6"/>
      <c r="AH73" s="6"/>
      <c r="AI73" s="6"/>
      <c r="AJ73" s="6"/>
      <c r="AK73" s="6"/>
      <c r="AL73" s="6"/>
      <c r="AM73" s="6"/>
      <c r="AN73" s="6"/>
    </row>
    <row r="74" spans="9:40" x14ac:dyDescent="0.15">
      <c r="I74" s="14"/>
      <c r="J74" s="3"/>
      <c r="M74" s="26"/>
      <c r="N74" s="13"/>
      <c r="O74" s="30"/>
      <c r="P74" s="39"/>
      <c r="Q74" s="39">
        <f t="shared" si="31"/>
        <v>0</v>
      </c>
      <c r="S74" s="43"/>
      <c r="U74" s="37"/>
      <c r="V74" s="37"/>
      <c r="X74" s="36"/>
      <c r="Z74" s="6"/>
      <c r="AA74" s="6"/>
      <c r="AB74" s="6"/>
      <c r="AC74" s="6"/>
      <c r="AG74" s="6"/>
      <c r="AH74" s="6"/>
      <c r="AI74" s="6"/>
      <c r="AJ74" s="6"/>
      <c r="AK74" s="6"/>
      <c r="AL74" s="6"/>
      <c r="AM74" s="6"/>
      <c r="AN74" s="6"/>
    </row>
    <row r="75" spans="9:40" x14ac:dyDescent="0.15">
      <c r="I75" s="14"/>
      <c r="J75" s="3"/>
      <c r="M75" s="26"/>
      <c r="N75" s="13"/>
      <c r="O75" s="30"/>
      <c r="P75" s="39"/>
      <c r="Q75" s="39">
        <f t="shared" si="31"/>
        <v>0</v>
      </c>
      <c r="S75" s="43"/>
      <c r="U75" s="37"/>
      <c r="V75" s="37"/>
      <c r="X75" s="36"/>
      <c r="Z75" s="6"/>
      <c r="AA75" s="6"/>
      <c r="AB75" s="6"/>
      <c r="AC75" s="6"/>
      <c r="AG75" s="6"/>
      <c r="AH75" s="6"/>
      <c r="AI75" s="6"/>
      <c r="AJ75" s="6"/>
      <c r="AK75" s="6"/>
      <c r="AL75" s="6"/>
      <c r="AM75" s="6"/>
      <c r="AN75" s="6"/>
    </row>
    <row r="76" spans="9:40" x14ac:dyDescent="0.15">
      <c r="I76" s="14"/>
      <c r="J76" s="3"/>
      <c r="M76" s="26"/>
      <c r="N76" s="13"/>
      <c r="O76" s="30"/>
      <c r="P76" s="39"/>
      <c r="Q76" s="39">
        <f t="shared" si="31"/>
        <v>0</v>
      </c>
      <c r="S76" s="43"/>
      <c r="U76" s="37"/>
      <c r="V76" s="37"/>
      <c r="X76" s="36"/>
      <c r="Z76" s="6"/>
      <c r="AA76" s="6"/>
      <c r="AB76" s="6"/>
      <c r="AC76" s="6"/>
      <c r="AG76" s="6"/>
      <c r="AH76" s="6"/>
      <c r="AI76" s="6"/>
      <c r="AJ76" s="6"/>
      <c r="AK76" s="6"/>
      <c r="AL76" s="6"/>
      <c r="AM76" s="6"/>
      <c r="AN76" s="6"/>
    </row>
    <row r="77" spans="9:40" x14ac:dyDescent="0.15">
      <c r="I77" s="14"/>
      <c r="J77" s="3"/>
      <c r="M77" s="26"/>
      <c r="N77" s="13"/>
      <c r="O77" s="30"/>
      <c r="P77" s="39"/>
      <c r="Q77" s="39"/>
      <c r="S77" s="43"/>
      <c r="U77" s="37"/>
      <c r="V77" s="37"/>
      <c r="X77" s="36"/>
      <c r="Z77" s="6"/>
      <c r="AA77" s="6"/>
      <c r="AB77" s="6"/>
      <c r="AC77" s="6"/>
      <c r="AG77" s="6"/>
      <c r="AH77" s="6"/>
      <c r="AI77" s="6"/>
      <c r="AJ77" s="6"/>
      <c r="AK77" s="6"/>
      <c r="AL77" s="6"/>
      <c r="AM77" s="6"/>
      <c r="AN77" s="6"/>
    </row>
    <row r="78" spans="9:40" x14ac:dyDescent="0.15">
      <c r="I78" s="14"/>
      <c r="J78" s="3"/>
      <c r="M78" s="26"/>
      <c r="N78" s="13"/>
      <c r="O78" s="30"/>
      <c r="P78" s="39"/>
      <c r="Q78" s="39"/>
      <c r="S78" s="43"/>
      <c r="U78" s="37"/>
      <c r="V78" s="37"/>
      <c r="X78" s="36"/>
      <c r="Z78" s="6"/>
      <c r="AA78" s="6"/>
      <c r="AB78" s="6"/>
      <c r="AC78" s="6"/>
      <c r="AG78" s="6"/>
      <c r="AH78" s="6"/>
      <c r="AI78" s="6"/>
      <c r="AJ78" s="6"/>
      <c r="AK78" s="6"/>
      <c r="AL78" s="6"/>
      <c r="AM78" s="6"/>
      <c r="AN78" s="6"/>
    </row>
    <row r="79" spans="9:40" x14ac:dyDescent="0.15">
      <c r="I79" s="14"/>
      <c r="J79" s="3"/>
      <c r="M79" s="26"/>
      <c r="N79" s="13"/>
      <c r="O79" s="30"/>
      <c r="P79" s="39"/>
      <c r="Q79" s="39"/>
      <c r="S79" s="43"/>
      <c r="U79" s="37"/>
      <c r="V79" s="37"/>
      <c r="X79" s="36"/>
      <c r="Z79" s="6"/>
      <c r="AA79" s="6"/>
      <c r="AB79" s="6"/>
      <c r="AC79" s="6"/>
      <c r="AG79" s="6"/>
      <c r="AH79" s="6"/>
      <c r="AI79" s="6"/>
      <c r="AJ79" s="6"/>
      <c r="AK79" s="6"/>
      <c r="AL79" s="6"/>
      <c r="AM79" s="6"/>
      <c r="AN79" s="6"/>
    </row>
    <row r="80" spans="9:40" x14ac:dyDescent="0.15">
      <c r="I80" s="14"/>
      <c r="J80" s="3"/>
      <c r="M80" s="26"/>
      <c r="N80" s="13"/>
      <c r="O80" s="30"/>
      <c r="P80" s="39"/>
      <c r="Q80" s="39"/>
      <c r="S80" s="43"/>
      <c r="U80" s="37"/>
      <c r="V80" s="37"/>
      <c r="X80" s="36"/>
      <c r="Z80" s="6"/>
      <c r="AA80" s="6"/>
      <c r="AB80" s="6"/>
      <c r="AC80" s="6"/>
      <c r="AG80" s="6"/>
      <c r="AH80" s="6"/>
      <c r="AI80" s="6"/>
      <c r="AJ80" s="6"/>
      <c r="AK80" s="6"/>
      <c r="AL80" s="6"/>
      <c r="AM80" s="6"/>
      <c r="AN80" s="6"/>
    </row>
    <row r="81" spans="9:40" x14ac:dyDescent="0.15">
      <c r="I81" s="14"/>
      <c r="J81" s="3"/>
      <c r="M81" s="26"/>
      <c r="N81" s="13"/>
      <c r="O81" s="30"/>
      <c r="P81" s="39"/>
      <c r="Q81" s="39"/>
      <c r="S81" s="43"/>
      <c r="U81" s="37"/>
      <c r="V81" s="37"/>
      <c r="X81" s="36"/>
      <c r="Z81" s="6"/>
      <c r="AA81" s="6"/>
      <c r="AB81" s="6"/>
      <c r="AC81" s="6"/>
      <c r="AG81" s="6"/>
      <c r="AH81" s="6"/>
      <c r="AI81" s="6"/>
      <c r="AJ81" s="6"/>
      <c r="AK81" s="6"/>
      <c r="AL81" s="6"/>
      <c r="AM81" s="6"/>
      <c r="AN81" s="6"/>
    </row>
    <row r="82" spans="9:40" x14ac:dyDescent="0.15">
      <c r="I82" s="14"/>
      <c r="J82" s="3"/>
      <c r="M82" s="26"/>
      <c r="N82" s="13"/>
      <c r="O82" s="30"/>
      <c r="P82" s="39"/>
      <c r="Q82" s="39"/>
      <c r="S82" s="43"/>
      <c r="U82" s="37"/>
      <c r="V82" s="37"/>
      <c r="X82" s="36"/>
      <c r="Z82" s="6"/>
      <c r="AA82" s="6"/>
      <c r="AB82" s="6"/>
      <c r="AC82" s="6"/>
      <c r="AG82" s="6"/>
      <c r="AH82" s="6"/>
      <c r="AI82" s="6"/>
      <c r="AJ82" s="6"/>
      <c r="AK82" s="6"/>
      <c r="AL82" s="6"/>
      <c r="AM82" s="6"/>
      <c r="AN82" s="6"/>
    </row>
    <row r="83" spans="9:40" x14ac:dyDescent="0.15">
      <c r="I83" s="14"/>
      <c r="J83" s="3"/>
      <c r="M83" s="26"/>
      <c r="N83" s="13"/>
      <c r="O83" s="30"/>
      <c r="P83" s="39"/>
      <c r="Q83" s="39"/>
      <c r="S83" s="43"/>
      <c r="U83" s="37"/>
      <c r="V83" s="37"/>
      <c r="X83" s="36"/>
      <c r="Z83" s="6"/>
      <c r="AA83" s="6"/>
      <c r="AB83" s="6"/>
      <c r="AC83" s="6"/>
      <c r="AG83" s="6"/>
      <c r="AH83" s="6"/>
      <c r="AI83" s="6"/>
      <c r="AJ83" s="6"/>
      <c r="AK83" s="6"/>
      <c r="AL83" s="6"/>
      <c r="AM83" s="6"/>
      <c r="AN83" s="6"/>
    </row>
    <row r="84" spans="9:40" x14ac:dyDescent="0.15">
      <c r="I84" s="14"/>
      <c r="J84" s="3"/>
      <c r="M84" s="26"/>
      <c r="N84" s="13"/>
      <c r="O84" s="30"/>
      <c r="P84" s="39"/>
      <c r="Q84" s="39"/>
      <c r="S84" s="43"/>
      <c r="U84" s="37"/>
      <c r="V84" s="37"/>
      <c r="X84" s="36"/>
      <c r="Z84" s="6"/>
      <c r="AA84" s="6"/>
      <c r="AB84" s="6"/>
      <c r="AC84" s="6"/>
      <c r="AG84" s="6"/>
      <c r="AH84" s="6"/>
      <c r="AI84" s="6"/>
      <c r="AJ84" s="6"/>
      <c r="AK84" s="6"/>
      <c r="AL84" s="6"/>
      <c r="AM84" s="6"/>
      <c r="AN84" s="6"/>
    </row>
    <row r="85" spans="9:40" x14ac:dyDescent="0.15">
      <c r="I85" s="14"/>
      <c r="J85" s="3"/>
      <c r="M85" s="26"/>
      <c r="N85" s="13"/>
      <c r="O85" s="30"/>
      <c r="P85" s="39"/>
      <c r="Q85" s="39"/>
      <c r="S85" s="43"/>
      <c r="U85" s="37"/>
      <c r="V85" s="37"/>
      <c r="X85" s="36"/>
      <c r="Z85" s="6"/>
      <c r="AA85" s="6"/>
      <c r="AB85" s="6"/>
      <c r="AC85" s="6"/>
      <c r="AG85" s="6"/>
      <c r="AH85" s="6"/>
      <c r="AI85" s="6"/>
      <c r="AJ85" s="6"/>
      <c r="AK85" s="6"/>
      <c r="AL85" s="6"/>
      <c r="AM85" s="6"/>
      <c r="AN85" s="6"/>
    </row>
    <row r="86" spans="9:40" x14ac:dyDescent="0.15">
      <c r="I86" s="14"/>
      <c r="J86" s="3"/>
      <c r="M86" s="26"/>
      <c r="N86" s="13"/>
      <c r="O86" s="30"/>
      <c r="P86" s="39"/>
      <c r="Q86" s="39"/>
      <c r="S86" s="43"/>
      <c r="U86" s="37"/>
      <c r="V86" s="37"/>
      <c r="X86" s="36"/>
      <c r="Z86" s="6"/>
      <c r="AA86" s="6"/>
      <c r="AB86" s="6"/>
      <c r="AC86" s="6"/>
      <c r="AG86" s="6"/>
      <c r="AH86" s="6"/>
      <c r="AI86" s="6"/>
      <c r="AJ86" s="6"/>
      <c r="AK86" s="6"/>
      <c r="AL86" s="6"/>
      <c r="AM86" s="6"/>
      <c r="AN86" s="6"/>
    </row>
    <row r="87" spans="9:40" x14ac:dyDescent="0.15">
      <c r="I87" s="14"/>
      <c r="J87" s="3"/>
      <c r="M87" s="26"/>
      <c r="N87" s="13"/>
      <c r="O87" s="30"/>
      <c r="P87" s="39"/>
      <c r="Q87" s="39"/>
      <c r="S87" s="43"/>
      <c r="U87" s="37"/>
      <c r="V87" s="37"/>
      <c r="X87" s="36"/>
      <c r="Z87" s="6"/>
      <c r="AA87" s="6"/>
      <c r="AB87" s="6"/>
      <c r="AC87" s="6"/>
      <c r="AG87" s="6"/>
      <c r="AH87" s="6"/>
      <c r="AI87" s="6"/>
      <c r="AJ87" s="6"/>
      <c r="AK87" s="6"/>
      <c r="AL87" s="6"/>
      <c r="AM87" s="6"/>
      <c r="AN87" s="6"/>
    </row>
    <row r="88" spans="9:40" x14ac:dyDescent="0.15">
      <c r="I88" s="14"/>
      <c r="J88" s="3"/>
      <c r="M88" s="26"/>
      <c r="N88" s="13"/>
      <c r="O88" s="30"/>
      <c r="P88" s="39"/>
      <c r="Q88" s="39"/>
      <c r="S88" s="43"/>
      <c r="U88" s="37"/>
      <c r="V88" s="37"/>
      <c r="X88" s="36"/>
      <c r="Z88" s="6"/>
      <c r="AA88" s="6"/>
      <c r="AB88" s="6"/>
      <c r="AC88" s="6"/>
      <c r="AG88" s="6"/>
      <c r="AH88" s="6"/>
      <c r="AI88" s="6"/>
      <c r="AJ88" s="6"/>
      <c r="AK88" s="6"/>
      <c r="AL88" s="6"/>
      <c r="AM88" s="6"/>
      <c r="AN88" s="6"/>
    </row>
    <row r="89" spans="9:40" x14ac:dyDescent="0.15">
      <c r="I89" s="14"/>
      <c r="J89" s="3"/>
      <c r="M89" s="26"/>
      <c r="N89" s="13"/>
      <c r="O89" s="30"/>
      <c r="P89" s="39"/>
      <c r="Q89" s="39"/>
      <c r="S89" s="43"/>
      <c r="U89" s="37"/>
      <c r="V89" s="37"/>
      <c r="X89" s="36"/>
      <c r="Z89" s="6"/>
      <c r="AA89" s="6"/>
      <c r="AB89" s="6"/>
      <c r="AC89" s="6"/>
      <c r="AG89" s="6"/>
      <c r="AH89" s="6"/>
      <c r="AI89" s="6"/>
      <c r="AJ89" s="6"/>
      <c r="AK89" s="6"/>
      <c r="AL89" s="6"/>
      <c r="AM89" s="6"/>
      <c r="AN89" s="6"/>
    </row>
    <row r="90" spans="9:40" x14ac:dyDescent="0.15">
      <c r="I90" s="14"/>
      <c r="J90" s="3"/>
      <c r="M90" s="26"/>
      <c r="N90" s="13"/>
      <c r="O90" s="30"/>
      <c r="P90" s="39"/>
      <c r="Q90" s="39"/>
      <c r="S90" s="43"/>
      <c r="U90" s="37"/>
      <c r="V90" s="37"/>
      <c r="X90" s="36"/>
      <c r="Z90" s="6"/>
      <c r="AA90" s="6"/>
      <c r="AB90" s="6"/>
      <c r="AC90" s="6"/>
      <c r="AG90" s="6"/>
      <c r="AH90" s="6"/>
      <c r="AI90" s="6"/>
      <c r="AJ90" s="6"/>
      <c r="AK90" s="6"/>
      <c r="AL90" s="6"/>
      <c r="AM90" s="6"/>
      <c r="AN90" s="6"/>
    </row>
    <row r="91" spans="9:40" x14ac:dyDescent="0.15">
      <c r="I91" s="14"/>
      <c r="J91" s="3"/>
      <c r="M91" s="26"/>
      <c r="N91" s="13"/>
      <c r="O91" s="30"/>
      <c r="P91" s="39"/>
      <c r="Q91" s="39"/>
      <c r="S91" s="43"/>
      <c r="U91" s="37"/>
      <c r="V91" s="37"/>
      <c r="X91" s="36"/>
      <c r="Z91" s="6"/>
      <c r="AA91" s="6"/>
      <c r="AB91" s="6"/>
      <c r="AC91" s="6"/>
      <c r="AG91" s="6"/>
      <c r="AH91" s="6"/>
      <c r="AI91" s="6"/>
      <c r="AJ91" s="6"/>
      <c r="AK91" s="6"/>
      <c r="AL91" s="6"/>
      <c r="AM91" s="6"/>
      <c r="AN91" s="6"/>
    </row>
    <row r="92" spans="9:40" x14ac:dyDescent="0.15">
      <c r="I92" s="14"/>
      <c r="J92" s="3"/>
      <c r="M92" s="26"/>
      <c r="N92" s="13"/>
      <c r="O92" s="30"/>
      <c r="P92" s="39"/>
      <c r="Q92" s="39"/>
      <c r="S92" s="43"/>
      <c r="U92" s="37"/>
      <c r="V92" s="37"/>
      <c r="X92" s="36"/>
      <c r="Z92" s="6"/>
      <c r="AA92" s="6"/>
      <c r="AB92" s="6"/>
      <c r="AC92" s="6"/>
      <c r="AG92" s="6"/>
      <c r="AH92" s="6"/>
      <c r="AI92" s="6"/>
      <c r="AJ92" s="6"/>
      <c r="AK92" s="6"/>
      <c r="AL92" s="6"/>
      <c r="AM92" s="6"/>
      <c r="AN92" s="6"/>
    </row>
    <row r="93" spans="9:40" x14ac:dyDescent="0.15">
      <c r="I93" s="14"/>
      <c r="J93" s="3"/>
      <c r="M93" s="26"/>
      <c r="N93" s="13"/>
      <c r="O93" s="30"/>
      <c r="P93" s="39"/>
      <c r="Q93" s="39"/>
      <c r="S93" s="43"/>
      <c r="U93" s="37"/>
      <c r="V93" s="37"/>
      <c r="X93" s="36"/>
      <c r="Z93" s="6"/>
      <c r="AA93" s="6"/>
      <c r="AB93" s="6"/>
      <c r="AC93" s="6"/>
      <c r="AG93" s="6"/>
      <c r="AH93" s="6"/>
      <c r="AI93" s="6"/>
      <c r="AJ93" s="6"/>
      <c r="AK93" s="6"/>
      <c r="AL93" s="6"/>
      <c r="AM93" s="6"/>
      <c r="AN93" s="6"/>
    </row>
    <row r="94" spans="9:40" x14ac:dyDescent="0.15">
      <c r="I94" s="14"/>
      <c r="J94" s="3"/>
      <c r="M94" s="26"/>
      <c r="N94" s="13"/>
      <c r="O94" s="30"/>
      <c r="P94" s="39"/>
      <c r="Q94" s="39"/>
      <c r="S94" s="43"/>
      <c r="U94" s="37"/>
      <c r="V94" s="37"/>
      <c r="X94" s="36"/>
      <c r="Z94" s="6"/>
      <c r="AA94" s="6"/>
      <c r="AB94" s="6"/>
      <c r="AC94" s="6"/>
      <c r="AG94" s="6"/>
      <c r="AH94" s="6"/>
      <c r="AI94" s="6"/>
      <c r="AJ94" s="6"/>
      <c r="AK94" s="6"/>
      <c r="AL94" s="6"/>
      <c r="AM94" s="6"/>
      <c r="AN94" s="6"/>
    </row>
    <row r="95" spans="9:40" x14ac:dyDescent="0.15">
      <c r="I95" s="14"/>
      <c r="J95" s="3"/>
      <c r="M95" s="26"/>
      <c r="N95" s="13"/>
      <c r="O95" s="30"/>
      <c r="P95" s="39"/>
      <c r="Q95" s="39"/>
      <c r="S95" s="43"/>
      <c r="U95" s="37"/>
      <c r="V95" s="37"/>
      <c r="X95" s="36"/>
      <c r="Z95" s="6"/>
      <c r="AA95" s="6"/>
      <c r="AB95" s="6"/>
      <c r="AC95" s="6"/>
      <c r="AG95" s="6"/>
      <c r="AH95" s="6"/>
      <c r="AI95" s="6"/>
      <c r="AJ95" s="6"/>
      <c r="AK95" s="6"/>
      <c r="AL95" s="6"/>
      <c r="AM95" s="6"/>
      <c r="AN95" s="6"/>
    </row>
    <row r="96" spans="9:40" x14ac:dyDescent="0.15">
      <c r="I96" s="14"/>
      <c r="J96" s="3"/>
      <c r="M96" s="26"/>
      <c r="N96" s="13"/>
      <c r="O96" s="30"/>
      <c r="P96" s="39"/>
      <c r="Q96" s="39"/>
      <c r="S96" s="43"/>
      <c r="U96" s="37"/>
      <c r="V96" s="37"/>
      <c r="X96" s="36"/>
      <c r="Z96" s="6"/>
      <c r="AA96" s="6"/>
      <c r="AB96" s="6"/>
      <c r="AC96" s="6"/>
      <c r="AG96" s="6"/>
      <c r="AH96" s="6"/>
      <c r="AI96" s="6"/>
      <c r="AJ96" s="6"/>
      <c r="AK96" s="6"/>
      <c r="AL96" s="6"/>
      <c r="AM96" s="6"/>
      <c r="AN96" s="6"/>
    </row>
    <row r="97" spans="5:40" x14ac:dyDescent="0.15">
      <c r="I97" s="14"/>
      <c r="J97" s="3"/>
      <c r="M97" s="26"/>
      <c r="N97" s="13"/>
      <c r="O97" s="30"/>
      <c r="P97" s="39"/>
      <c r="Q97" s="39"/>
      <c r="S97" s="43"/>
      <c r="U97" s="37"/>
      <c r="V97" s="37"/>
      <c r="X97" s="36"/>
      <c r="Z97" s="6"/>
      <c r="AA97" s="6"/>
      <c r="AB97" s="6"/>
      <c r="AC97" s="6"/>
      <c r="AG97" s="6"/>
      <c r="AH97" s="6"/>
      <c r="AI97" s="6"/>
      <c r="AJ97" s="6"/>
      <c r="AK97" s="6"/>
      <c r="AL97" s="6"/>
      <c r="AM97" s="6"/>
      <c r="AN97" s="6"/>
    </row>
    <row r="98" spans="5:40" x14ac:dyDescent="0.15">
      <c r="I98" s="14"/>
      <c r="J98" s="3"/>
      <c r="M98" s="26"/>
      <c r="N98" s="13"/>
      <c r="O98" s="30"/>
      <c r="P98" s="39"/>
      <c r="Q98" s="39"/>
      <c r="S98" s="43"/>
      <c r="U98" s="37"/>
      <c r="V98" s="37"/>
      <c r="X98" s="36"/>
      <c r="Z98" s="6"/>
      <c r="AA98" s="6"/>
      <c r="AB98" s="6"/>
      <c r="AC98" s="6"/>
      <c r="AG98" s="6"/>
      <c r="AH98" s="6"/>
      <c r="AI98" s="6"/>
      <c r="AJ98" s="6"/>
      <c r="AK98" s="6"/>
      <c r="AL98" s="6"/>
      <c r="AM98" s="6"/>
      <c r="AN98" s="6"/>
    </row>
    <row r="99" spans="5:40" x14ac:dyDescent="0.15">
      <c r="I99" s="14"/>
      <c r="J99" s="3"/>
      <c r="S99" s="43"/>
    </row>
    <row r="100" spans="5:40" x14ac:dyDescent="0.15">
      <c r="I100" s="14"/>
      <c r="J100" s="3"/>
      <c r="S100" s="43"/>
    </row>
    <row r="103" spans="5:40" x14ac:dyDescent="0.15"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AD103" s="44" t="s">
        <v>67</v>
      </c>
      <c r="AE103" s="13">
        <f>SUMIF(AE4:AE98,)</f>
        <v>0</v>
      </c>
      <c r="AF103" s="13">
        <f>SUM(AF4:AF98)</f>
        <v>-4778.6699800000006</v>
      </c>
      <c r="AG103" s="94">
        <f>SUM(AG4:AG98)</f>
        <v>-6178.090410276187</v>
      </c>
      <c r="AH103" s="94">
        <f t="shared" ref="AH103:AN103" si="32">SUM(AH4:AH98)</f>
        <v>-100000.00000000001</v>
      </c>
      <c r="AI103" s="94">
        <f t="shared" si="32"/>
        <v>-63170.060590276211</v>
      </c>
      <c r="AJ103" s="94">
        <f>SUM(AJ4:AJ98)</f>
        <v>-2.6676152227359335E-15</v>
      </c>
      <c r="AK103" s="94">
        <f t="shared" si="32"/>
        <v>15.846905462752192</v>
      </c>
      <c r="AL103" s="94">
        <f>SUM(AL4:AL98)</f>
        <v>-63154.21368481344</v>
      </c>
      <c r="AM103" s="94">
        <f t="shared" si="32"/>
        <v>0</v>
      </c>
      <c r="AN103" s="94">
        <f t="shared" si="32"/>
        <v>-63154.213684813454</v>
      </c>
    </row>
    <row r="104" spans="5:40" x14ac:dyDescent="0.15">
      <c r="F104" s="3"/>
      <c r="G104" s="195"/>
      <c r="H104" s="175"/>
      <c r="I104" s="51"/>
      <c r="J104" s="193"/>
      <c r="K104" s="95"/>
      <c r="L104" s="140"/>
      <c r="M104" s="138"/>
      <c r="N104" s="194"/>
      <c r="O104" s="95"/>
      <c r="AD104" s="51"/>
    </row>
    <row r="105" spans="5:40" x14ac:dyDescent="0.15">
      <c r="F105" s="3"/>
      <c r="L105" s="49"/>
      <c r="M105" s="120"/>
    </row>
    <row r="106" spans="5:40" x14ac:dyDescent="0.15">
      <c r="F106" s="3"/>
      <c r="L106" s="49"/>
      <c r="M106" s="49"/>
      <c r="AD106" s="51" t="s">
        <v>69</v>
      </c>
      <c r="AE106" s="54">
        <f>NPV(5.5%,AE5:AE98)+AE4</f>
        <v>47786.699800000002</v>
      </c>
      <c r="AF106" s="54">
        <f t="shared" ref="AF106:AN106" si="33">NPV(5.5%,AF5:AF98)+AF4</f>
        <v>-4778.6699800000006</v>
      </c>
      <c r="AG106" s="54">
        <f>NPV(5.5%,(AG5:AG98))+AG4</f>
        <v>-5614.1342932378739</v>
      </c>
      <c r="AH106" s="54">
        <f t="shared" si="33"/>
        <v>-30615.095302212339</v>
      </c>
      <c r="AI106" s="54">
        <f t="shared" si="33"/>
        <v>6778.8002245497992</v>
      </c>
      <c r="AJ106" s="54">
        <f t="shared" si="33"/>
        <v>-18.922436747528316</v>
      </c>
      <c r="AK106" s="54">
        <f t="shared" si="33"/>
        <v>10.467422322425723</v>
      </c>
      <c r="AL106" s="63">
        <f>NPV(5.5%,AL5:AL64)+AL4</f>
        <v>6770.3452101247058</v>
      </c>
      <c r="AM106" s="54">
        <f t="shared" si="33"/>
        <v>-0.69384904697787664</v>
      </c>
      <c r="AN106" s="54">
        <f t="shared" si="33"/>
        <v>6769.6513610777147</v>
      </c>
    </row>
    <row r="107" spans="5:40" x14ac:dyDescent="0.15">
      <c r="F107" s="3"/>
      <c r="L107" s="49"/>
      <c r="M107" s="49"/>
      <c r="AD107" s="51" t="s">
        <v>70</v>
      </c>
      <c r="AE107" s="13">
        <f>NPV(12%,AE5:AE98)+AE4</f>
        <v>47786.699800000002</v>
      </c>
      <c r="AF107" s="13">
        <f t="shared" ref="AF107:AN107" si="34">NPV(12%,AF5:AF98)+AF4</f>
        <v>-4778.6699800000006</v>
      </c>
      <c r="AG107" s="13">
        <f t="shared" si="34"/>
        <v>-5362.2592024706173</v>
      </c>
      <c r="AH107" s="13">
        <f t="shared" si="34"/>
        <v>-11373.738042010744</v>
      </c>
      <c r="AI107" s="13">
        <f t="shared" si="34"/>
        <v>26272.032575518635</v>
      </c>
      <c r="AJ107" s="13">
        <f t="shared" si="34"/>
        <v>-29.846370876577133</v>
      </c>
      <c r="AK107" s="13">
        <f t="shared" si="34"/>
        <v>7.5472411972420126</v>
      </c>
      <c r="AL107" s="13">
        <f t="shared" si="34"/>
        <v>26249.733445839302</v>
      </c>
      <c r="AM107" s="13">
        <f t="shared" si="34"/>
        <v>-0.8862626195798925</v>
      </c>
      <c r="AN107" s="13">
        <f t="shared" si="34"/>
        <v>26248.847183219728</v>
      </c>
    </row>
    <row r="111" spans="5:40" ht="42" x14ac:dyDescent="0.15">
      <c r="F111" s="69" t="s">
        <v>71</v>
      </c>
      <c r="G111" s="69" t="s">
        <v>72</v>
      </c>
      <c r="H111" s="69" t="s">
        <v>73</v>
      </c>
      <c r="I111" s="69" t="s">
        <v>74</v>
      </c>
      <c r="J111" s="69" t="s">
        <v>75</v>
      </c>
      <c r="K111" s="69" t="s">
        <v>76</v>
      </c>
      <c r="L111" s="67" t="s">
        <v>77</v>
      </c>
      <c r="M111" s="67" t="s">
        <v>78</v>
      </c>
      <c r="N111" s="67" t="s">
        <v>79</v>
      </c>
      <c r="O111" s="67" t="s">
        <v>90</v>
      </c>
      <c r="P111" s="67" t="s">
        <v>97</v>
      </c>
      <c r="Q111" s="114" t="s">
        <v>144</v>
      </c>
      <c r="R111" s="99" t="s">
        <v>145</v>
      </c>
      <c r="S111" s="114" t="s">
        <v>94</v>
      </c>
      <c r="T111" s="132" t="s">
        <v>116</v>
      </c>
      <c r="U111" s="114" t="s">
        <v>96</v>
      </c>
    </row>
    <row r="112" spans="5:40" ht="16" x14ac:dyDescent="0.2">
      <c r="F112" s="69">
        <v>46</v>
      </c>
      <c r="G112" s="198">
        <v>1857</v>
      </c>
      <c r="H112" s="199">
        <v>100000</v>
      </c>
      <c r="I112" s="200"/>
      <c r="J112" s="200"/>
      <c r="K112" s="198"/>
      <c r="L112" s="104">
        <v>18509.34</v>
      </c>
      <c r="M112" s="88">
        <f>L112*1.2</f>
        <v>22211.207999999999</v>
      </c>
      <c r="N112" s="104">
        <v>2961.47</v>
      </c>
      <c r="O112" s="104">
        <v>3523.5</v>
      </c>
      <c r="P112" s="104">
        <f>M112*(1-$N$135)</f>
        <v>21878.039879999997</v>
      </c>
      <c r="Q112" s="93">
        <v>3136.84</v>
      </c>
      <c r="R112" s="93">
        <f>Q112-N112</f>
        <v>175.37000000000035</v>
      </c>
      <c r="S112" s="93">
        <v>-3950734.48</v>
      </c>
      <c r="T112" s="75">
        <v>3900000</v>
      </c>
      <c r="U112" s="88">
        <f>T112+S112</f>
        <v>-50734.479999999981</v>
      </c>
      <c r="V112" s="172">
        <v>5.2438686582429526E-2</v>
      </c>
    </row>
    <row r="113" spans="6:22" ht="16" x14ac:dyDescent="0.2">
      <c r="F113" s="69">
        <v>47</v>
      </c>
      <c r="G113" s="198">
        <v>2044</v>
      </c>
      <c r="H113" s="199">
        <v>100000</v>
      </c>
      <c r="I113" s="200"/>
      <c r="J113" s="200"/>
      <c r="K113" s="198"/>
      <c r="L113" s="104">
        <v>19279.240000000002</v>
      </c>
      <c r="M113" s="88">
        <f t="shared" ref="M113:M131" si="35">L113*1.2</f>
        <v>23135.088</v>
      </c>
      <c r="N113" s="104">
        <v>3084.68</v>
      </c>
      <c r="O113" s="104">
        <v>3660.15</v>
      </c>
      <c r="P113" s="104">
        <f>M113*(1-$N$135)</f>
        <v>22788.061679999999</v>
      </c>
      <c r="Q113" s="93">
        <v>3262.41</v>
      </c>
      <c r="R113" s="93">
        <f t="shared" ref="R113:R131" si="36">Q113-N113</f>
        <v>177.73000000000002</v>
      </c>
      <c r="S113" s="93">
        <v>-4149765.83</v>
      </c>
      <c r="T113" s="75">
        <v>4800000</v>
      </c>
      <c r="U113" s="88">
        <f t="shared" ref="U113:U131" si="37">T113+S113</f>
        <v>650234.16999999993</v>
      </c>
      <c r="V113" s="172">
        <v>5.1905989644371521E-2</v>
      </c>
    </row>
    <row r="114" spans="6:22" ht="16" x14ac:dyDescent="0.2">
      <c r="F114" s="69">
        <v>48</v>
      </c>
      <c r="G114" s="198">
        <v>1920</v>
      </c>
      <c r="H114" s="199">
        <v>100000</v>
      </c>
      <c r="I114" s="200"/>
      <c r="J114" s="200"/>
      <c r="K114" s="198"/>
      <c r="L114" s="104">
        <v>20068.16</v>
      </c>
      <c r="M114" s="88">
        <f t="shared" si="35"/>
        <v>24081.791999999998</v>
      </c>
      <c r="N114" s="104">
        <v>3210.91</v>
      </c>
      <c r="O114" s="104">
        <v>3800.63</v>
      </c>
      <c r="P114" s="104">
        <f>M114*(1-$N$135)</f>
        <v>23720.565119999996</v>
      </c>
      <c r="Q114" s="93">
        <v>3391.53</v>
      </c>
      <c r="R114" s="93">
        <f t="shared" si="36"/>
        <v>180.62000000000035</v>
      </c>
      <c r="S114" s="93">
        <v>-4201309.8899999997</v>
      </c>
      <c r="T114" s="75">
        <v>5000000</v>
      </c>
      <c r="U114" s="88">
        <f t="shared" si="37"/>
        <v>798690.11000000034</v>
      </c>
      <c r="V114" s="172">
        <v>5.1458524216402804E-2</v>
      </c>
    </row>
    <row r="115" spans="6:22" ht="16" x14ac:dyDescent="0.2">
      <c r="F115" s="69">
        <v>49</v>
      </c>
      <c r="G115" s="198">
        <v>1957</v>
      </c>
      <c r="H115" s="199">
        <v>100000</v>
      </c>
      <c r="I115" s="200"/>
      <c r="J115" s="200"/>
      <c r="K115" s="198"/>
      <c r="L115" s="104">
        <v>20887.66</v>
      </c>
      <c r="M115" s="88">
        <f t="shared" si="35"/>
        <v>25065.191999999999</v>
      </c>
      <c r="N115" s="104">
        <v>3342.03</v>
      </c>
      <c r="O115" s="104">
        <v>3943.09</v>
      </c>
      <c r="P115" s="104">
        <f t="shared" ref="P115:P121" si="38">M115*(1-$N$135)</f>
        <v>24689.214120000001</v>
      </c>
      <c r="Q115" s="93">
        <v>3522.19</v>
      </c>
      <c r="R115" s="93">
        <f t="shared" si="36"/>
        <v>180.15999999999985</v>
      </c>
      <c r="S115" s="93">
        <v>-4486215.7</v>
      </c>
      <c r="T115" s="75">
        <v>7500000</v>
      </c>
      <c r="U115" s="88">
        <f t="shared" si="37"/>
        <v>3013784.3</v>
      </c>
      <c r="V115" s="172">
        <v>4.9924357034795766E-2</v>
      </c>
    </row>
    <row r="116" spans="6:22" ht="16" x14ac:dyDescent="0.2">
      <c r="F116" s="69">
        <v>50</v>
      </c>
      <c r="G116" s="198">
        <v>2037</v>
      </c>
      <c r="H116" s="199">
        <v>100000</v>
      </c>
      <c r="I116" s="200"/>
      <c r="J116" s="200"/>
      <c r="K116" s="198"/>
      <c r="L116" s="104">
        <v>21719</v>
      </c>
      <c r="M116" s="88">
        <f t="shared" si="35"/>
        <v>26062.799999999999</v>
      </c>
      <c r="N116" s="104">
        <v>3475.04</v>
      </c>
      <c r="O116" s="104">
        <v>4090.56</v>
      </c>
      <c r="P116" s="104">
        <f t="shared" si="38"/>
        <v>25671.858</v>
      </c>
      <c r="Q116" s="93">
        <v>3657.69</v>
      </c>
      <c r="R116" s="93">
        <f t="shared" si="36"/>
        <v>182.65000000000009</v>
      </c>
      <c r="S116" s="93">
        <v>-4522314.96</v>
      </c>
      <c r="T116" s="75">
        <v>5700000</v>
      </c>
      <c r="U116" s="88">
        <f t="shared" si="37"/>
        <v>1177685.04</v>
      </c>
      <c r="V116" s="172">
        <v>5.1905989644371521E-2</v>
      </c>
    </row>
    <row r="117" spans="6:22" ht="16" x14ac:dyDescent="0.2">
      <c r="F117" s="69">
        <v>51</v>
      </c>
      <c r="G117" s="198">
        <v>1998</v>
      </c>
      <c r="H117" s="199">
        <v>100000</v>
      </c>
      <c r="I117" s="200"/>
      <c r="J117" s="200"/>
      <c r="K117" s="198"/>
      <c r="L117" s="104">
        <v>22570.53</v>
      </c>
      <c r="M117" s="88">
        <f t="shared" si="35"/>
        <v>27084.635999999999</v>
      </c>
      <c r="N117" s="104">
        <v>3611.28</v>
      </c>
      <c r="O117" s="104">
        <v>4242.97</v>
      </c>
      <c r="P117" s="104">
        <f t="shared" si="38"/>
        <v>26678.366459999997</v>
      </c>
      <c r="Q117" s="93">
        <v>3797.84</v>
      </c>
      <c r="R117" s="93">
        <f t="shared" si="36"/>
        <v>186.55999999999995</v>
      </c>
      <c r="S117" s="93">
        <v>-4970038.8899999997</v>
      </c>
      <c r="T117" s="75">
        <v>8500000</v>
      </c>
      <c r="U117" s="88">
        <f t="shared" si="37"/>
        <v>3529961.1100000003</v>
      </c>
      <c r="V117" s="172">
        <v>5.1053674543478721E-2</v>
      </c>
    </row>
    <row r="118" spans="6:22" ht="16" x14ac:dyDescent="0.2">
      <c r="F118" s="69">
        <v>52</v>
      </c>
      <c r="G118" s="198">
        <v>2022</v>
      </c>
      <c r="H118" s="199">
        <v>100000</v>
      </c>
      <c r="I118" s="200"/>
      <c r="J118" s="200"/>
      <c r="K118" s="198"/>
      <c r="L118" s="104">
        <v>23443.5</v>
      </c>
      <c r="M118" s="88">
        <f t="shared" si="35"/>
        <v>28132.2</v>
      </c>
      <c r="N118" s="104">
        <v>3750.96</v>
      </c>
      <c r="O118" s="104">
        <v>4399.3900000000003</v>
      </c>
      <c r="P118" s="104">
        <f t="shared" si="38"/>
        <v>27710.217000000001</v>
      </c>
      <c r="Q118" s="93">
        <v>3941.69</v>
      </c>
      <c r="R118" s="93">
        <f t="shared" si="36"/>
        <v>190.73000000000002</v>
      </c>
      <c r="S118" s="93">
        <v>-4998719.05</v>
      </c>
      <c r="T118" s="75">
        <v>5900000</v>
      </c>
      <c r="U118" s="88">
        <f t="shared" si="37"/>
        <v>901280.95000000019</v>
      </c>
      <c r="V118" s="172">
        <v>5.2161684174639365E-2</v>
      </c>
    </row>
    <row r="119" spans="6:22" ht="16" x14ac:dyDescent="0.2">
      <c r="F119" s="69">
        <v>53</v>
      </c>
      <c r="G119" s="198">
        <v>2070</v>
      </c>
      <c r="H119" s="199">
        <v>100000</v>
      </c>
      <c r="I119" s="200"/>
      <c r="J119" s="200"/>
      <c r="K119" s="198"/>
      <c r="L119" s="104">
        <v>24452.68</v>
      </c>
      <c r="M119" s="88">
        <f t="shared" si="35"/>
        <v>29343.216</v>
      </c>
      <c r="N119" s="201">
        <v>3912.43</v>
      </c>
      <c r="O119" s="104">
        <v>4584.1400000000003</v>
      </c>
      <c r="P119" s="104">
        <f t="shared" si="38"/>
        <v>28903.067760000002</v>
      </c>
      <c r="Q119" s="93">
        <v>4111.8999999999996</v>
      </c>
      <c r="R119" s="93">
        <f t="shared" si="36"/>
        <v>199.4699999999998</v>
      </c>
      <c r="S119" s="93">
        <v>-5781837.7599999998</v>
      </c>
      <c r="T119" s="75">
        <v>8200000</v>
      </c>
      <c r="U119" s="88">
        <f t="shared" si="37"/>
        <v>2418162.2400000002</v>
      </c>
      <c r="V119" s="172">
        <v>5.1671602991626008E-2</v>
      </c>
    </row>
    <row r="120" spans="6:22" ht="16" x14ac:dyDescent="0.2">
      <c r="F120" s="69">
        <v>54</v>
      </c>
      <c r="G120" s="198">
        <v>1887</v>
      </c>
      <c r="H120" s="199">
        <v>100000</v>
      </c>
      <c r="I120" s="200"/>
      <c r="J120" s="200"/>
      <c r="K120" s="198"/>
      <c r="L120" s="104">
        <v>25498.55</v>
      </c>
      <c r="M120" s="88">
        <f t="shared" si="35"/>
        <v>30598.26</v>
      </c>
      <c r="N120" s="104">
        <v>4079.77</v>
      </c>
      <c r="O120" s="104">
        <v>4775.17</v>
      </c>
      <c r="P120" s="104">
        <f t="shared" si="38"/>
        <v>30139.286099999998</v>
      </c>
      <c r="Q120" s="93">
        <v>4287.88</v>
      </c>
      <c r="R120" s="93">
        <f t="shared" si="36"/>
        <v>208.11000000000013</v>
      </c>
      <c r="S120" s="93">
        <v>-6107879.4900000002</v>
      </c>
      <c r="T120" s="75">
        <v>6600000</v>
      </c>
      <c r="U120" s="88">
        <f t="shared" si="37"/>
        <v>492120.50999999978</v>
      </c>
      <c r="V120" s="172">
        <v>5.2097760542072401E-2</v>
      </c>
    </row>
    <row r="121" spans="6:22" ht="16" x14ac:dyDescent="0.2">
      <c r="F121" s="69">
        <v>55</v>
      </c>
      <c r="G121" s="198">
        <v>1974</v>
      </c>
      <c r="H121" s="199">
        <v>100000</v>
      </c>
      <c r="I121" s="200"/>
      <c r="J121" s="200"/>
      <c r="K121" s="198"/>
      <c r="L121" s="104">
        <v>26580.77</v>
      </c>
      <c r="M121" s="88">
        <f t="shared" si="35"/>
        <v>31896.923999999999</v>
      </c>
      <c r="N121" s="104">
        <v>4252.92</v>
      </c>
      <c r="O121" s="93">
        <v>4972.22</v>
      </c>
      <c r="P121" s="104">
        <f t="shared" si="38"/>
        <v>31418.470139999998</v>
      </c>
      <c r="Q121" s="93">
        <v>4469.34</v>
      </c>
      <c r="R121" s="93">
        <f t="shared" si="36"/>
        <v>216.42000000000007</v>
      </c>
      <c r="S121" s="93">
        <v>-6853869.5599999996</v>
      </c>
      <c r="T121" s="75">
        <v>8600000</v>
      </c>
      <c r="U121" s="88">
        <f t="shared" si="37"/>
        <v>1746130.4400000004</v>
      </c>
      <c r="V121" s="172">
        <v>4.9583430994438647E-2</v>
      </c>
    </row>
    <row r="122" spans="6:22" ht="16" x14ac:dyDescent="0.2">
      <c r="F122" s="69">
        <v>56</v>
      </c>
      <c r="G122" s="198">
        <v>420</v>
      </c>
      <c r="H122" s="199">
        <v>100000</v>
      </c>
      <c r="I122" s="200"/>
      <c r="J122" s="200"/>
      <c r="K122" s="198"/>
      <c r="L122" s="104">
        <v>27698.97</v>
      </c>
      <c r="M122" s="88">
        <f t="shared" si="35"/>
        <v>33238.764000000003</v>
      </c>
      <c r="N122" s="104">
        <v>4431.83</v>
      </c>
      <c r="O122" s="104">
        <v>5175.08</v>
      </c>
      <c r="P122" s="104">
        <f>M122*(1-$N$136)</f>
        <v>32740.182540000002</v>
      </c>
      <c r="Q122" s="93">
        <v>4656.1099999999997</v>
      </c>
      <c r="R122" s="93">
        <f t="shared" si="36"/>
        <v>224.27999999999975</v>
      </c>
      <c r="S122" s="93">
        <v>-7042926.8899999997</v>
      </c>
      <c r="T122" s="75">
        <v>7800000</v>
      </c>
      <c r="U122" s="88">
        <f t="shared" si="37"/>
        <v>757073.11000000034</v>
      </c>
      <c r="V122" s="172">
        <v>5.0243975197630561E-2</v>
      </c>
    </row>
    <row r="123" spans="6:22" ht="16" x14ac:dyDescent="0.2">
      <c r="F123" s="69">
        <v>57</v>
      </c>
      <c r="G123" s="198">
        <v>406</v>
      </c>
      <c r="H123" s="199">
        <v>100000</v>
      </c>
      <c r="I123" s="200"/>
      <c r="J123" s="200"/>
      <c r="K123" s="198"/>
      <c r="L123" s="104">
        <v>28915.65</v>
      </c>
      <c r="M123" s="88">
        <f t="shared" si="35"/>
        <v>34698.78</v>
      </c>
      <c r="N123" s="104">
        <v>4626.51</v>
      </c>
      <c r="O123" s="104">
        <v>5397.22</v>
      </c>
      <c r="P123" s="104">
        <f t="shared" ref="P123:P130" si="39">M123*(1-$N$136)</f>
        <v>34178.298299999995</v>
      </c>
      <c r="Q123" s="93">
        <v>4860.72</v>
      </c>
      <c r="R123" s="93">
        <f t="shared" si="36"/>
        <v>234.21000000000004</v>
      </c>
      <c r="S123" s="93">
        <v>-8603356.7300000004</v>
      </c>
      <c r="T123" s="75">
        <v>11200000</v>
      </c>
      <c r="U123" s="88">
        <f t="shared" si="37"/>
        <v>2596643.2699999996</v>
      </c>
      <c r="V123" s="172">
        <v>4.8986810423813684E-2</v>
      </c>
    </row>
    <row r="124" spans="6:22" ht="16" x14ac:dyDescent="0.2">
      <c r="F124" s="69">
        <v>58</v>
      </c>
      <c r="G124" s="198">
        <v>399</v>
      </c>
      <c r="H124" s="199">
        <v>100000</v>
      </c>
      <c r="I124" s="200"/>
      <c r="J124" s="200"/>
      <c r="K124" s="198"/>
      <c r="L124" s="104">
        <v>30179.48</v>
      </c>
      <c r="M124" s="88">
        <f t="shared" si="35"/>
        <v>36215.375999999997</v>
      </c>
      <c r="N124" s="104">
        <v>4828.71</v>
      </c>
      <c r="O124" s="93">
        <v>5627.38</v>
      </c>
      <c r="P124" s="104">
        <f t="shared" si="39"/>
        <v>35672.145359999995</v>
      </c>
      <c r="Q124" s="93">
        <v>5072.6899999999996</v>
      </c>
      <c r="R124" s="93">
        <f t="shared" si="36"/>
        <v>243.97999999999956</v>
      </c>
      <c r="S124" s="93">
        <v>-8585448.2899999991</v>
      </c>
      <c r="T124" s="75">
        <v>9300000</v>
      </c>
      <c r="U124" s="88">
        <f t="shared" si="37"/>
        <v>714551.71000000089</v>
      </c>
      <c r="V124" s="172">
        <v>5.0435746095331441E-2</v>
      </c>
    </row>
    <row r="125" spans="6:22" ht="16" x14ac:dyDescent="0.2">
      <c r="F125" s="69">
        <v>59</v>
      </c>
      <c r="G125" s="198">
        <v>431</v>
      </c>
      <c r="H125" s="199">
        <v>100000</v>
      </c>
      <c r="I125" s="200"/>
      <c r="J125" s="200"/>
      <c r="K125" s="198"/>
      <c r="L125" s="104">
        <v>31491.58</v>
      </c>
      <c r="M125" s="88">
        <f t="shared" si="35"/>
        <v>37789.896000000001</v>
      </c>
      <c r="N125" s="104">
        <v>5038.6499999999996</v>
      </c>
      <c r="O125" s="104">
        <v>5865.72</v>
      </c>
      <c r="P125" s="104">
        <f t="shared" si="39"/>
        <v>37223.047559999999</v>
      </c>
      <c r="Q125" s="93">
        <v>5292.13</v>
      </c>
      <c r="R125" s="93">
        <f t="shared" si="36"/>
        <v>253.48000000000047</v>
      </c>
      <c r="S125" s="93">
        <v>-9917694.8000000007</v>
      </c>
      <c r="T125" s="75">
        <v>9800000</v>
      </c>
      <c r="U125" s="88">
        <f t="shared" si="37"/>
        <v>-117694.80000000075</v>
      </c>
      <c r="V125" s="172">
        <v>4.9455583729304725E-2</v>
      </c>
    </row>
    <row r="126" spans="6:22" ht="16" x14ac:dyDescent="0.2">
      <c r="F126" s="69">
        <v>60</v>
      </c>
      <c r="G126" s="198">
        <v>407</v>
      </c>
      <c r="H126" s="199">
        <v>100000</v>
      </c>
      <c r="I126" s="200"/>
      <c r="J126" s="200"/>
      <c r="K126" s="198"/>
      <c r="L126" s="104">
        <v>32850.550000000003</v>
      </c>
      <c r="M126" s="88">
        <f t="shared" si="35"/>
        <v>39420.660000000003</v>
      </c>
      <c r="N126" s="104">
        <v>5256.09</v>
      </c>
      <c r="O126" s="104">
        <v>6111.84</v>
      </c>
      <c r="P126" s="104">
        <f t="shared" si="39"/>
        <v>38829.350100000003</v>
      </c>
      <c r="Q126" s="93">
        <v>5518.68</v>
      </c>
      <c r="R126" s="93">
        <f t="shared" si="36"/>
        <v>262.59000000000015</v>
      </c>
      <c r="S126" s="93">
        <v>-10654309.66</v>
      </c>
      <c r="T126" s="75">
        <v>12100000</v>
      </c>
      <c r="U126" s="88">
        <f t="shared" si="37"/>
        <v>1445690.3399999999</v>
      </c>
      <c r="V126" s="172">
        <v>4.8858963158679762E-2</v>
      </c>
    </row>
    <row r="127" spans="6:22" ht="16" x14ac:dyDescent="0.2">
      <c r="F127" s="69">
        <v>61</v>
      </c>
      <c r="G127" s="198">
        <v>349</v>
      </c>
      <c r="H127" s="199">
        <v>100000</v>
      </c>
      <c r="I127" s="200"/>
      <c r="J127" s="200"/>
      <c r="K127" s="198"/>
      <c r="L127" s="104">
        <v>34258.1</v>
      </c>
      <c r="M127" s="88">
        <f t="shared" si="35"/>
        <v>41109.719999999994</v>
      </c>
      <c r="N127" s="104">
        <v>5481.3</v>
      </c>
      <c r="O127" s="93">
        <v>6365.98</v>
      </c>
      <c r="P127" s="104">
        <f t="shared" si="39"/>
        <v>40493.074199999995</v>
      </c>
      <c r="Q127" s="93">
        <v>5752.56</v>
      </c>
      <c r="R127" s="93">
        <f>Q127-N127</f>
        <v>271.26000000000022</v>
      </c>
      <c r="S127" s="93">
        <v>-12313693.27</v>
      </c>
      <c r="T127" s="75">
        <v>12500000</v>
      </c>
      <c r="U127" s="88">
        <f t="shared" si="37"/>
        <v>186306.73000000045</v>
      </c>
      <c r="V127" s="172">
        <v>4.8198418955487841E-2</v>
      </c>
    </row>
    <row r="128" spans="6:22" ht="16" x14ac:dyDescent="0.2">
      <c r="F128" s="69">
        <v>62</v>
      </c>
      <c r="G128" s="198">
        <v>360</v>
      </c>
      <c r="H128" s="199">
        <v>100000</v>
      </c>
      <c r="I128" s="200"/>
      <c r="J128" s="200"/>
      <c r="K128" s="198"/>
      <c r="L128" s="104">
        <v>35718.239999999998</v>
      </c>
      <c r="M128" s="88">
        <f t="shared" si="35"/>
        <v>42861.887999999999</v>
      </c>
      <c r="N128" s="104">
        <v>5714.92</v>
      </c>
      <c r="O128" s="104">
        <v>6628.93</v>
      </c>
      <c r="P128" s="104">
        <f t="shared" si="39"/>
        <v>42218.95968</v>
      </c>
      <c r="Q128" s="93">
        <v>5994.48</v>
      </c>
      <c r="R128" s="93">
        <f t="shared" si="36"/>
        <v>279.55999999999949</v>
      </c>
      <c r="S128" s="93">
        <v>-12216202.73</v>
      </c>
      <c r="T128" s="75">
        <v>12800000</v>
      </c>
      <c r="U128" s="88">
        <f t="shared" si="37"/>
        <v>583797.26999999955</v>
      </c>
      <c r="V128" s="172">
        <v>4.7580490507340562E-2</v>
      </c>
    </row>
    <row r="129" spans="6:22" ht="16" x14ac:dyDescent="0.2">
      <c r="F129" s="69">
        <v>63</v>
      </c>
      <c r="G129" s="198">
        <v>394</v>
      </c>
      <c r="H129" s="199">
        <v>100000</v>
      </c>
      <c r="I129" s="200"/>
      <c r="J129" s="200"/>
      <c r="K129" s="198"/>
      <c r="L129" s="104">
        <v>37232.11</v>
      </c>
      <c r="M129" s="88">
        <f t="shared" si="35"/>
        <v>44678.531999999999</v>
      </c>
      <c r="N129" s="104">
        <v>5957.14</v>
      </c>
      <c r="O129" s="104">
        <v>6900.82</v>
      </c>
      <c r="P129" s="104">
        <f t="shared" si="39"/>
        <v>44008.354019999999</v>
      </c>
      <c r="Q129" s="93">
        <v>6244.57</v>
      </c>
      <c r="R129" s="93">
        <f t="shared" si="36"/>
        <v>287.42999999999938</v>
      </c>
      <c r="S129" s="93">
        <v>-14355720.890000001</v>
      </c>
      <c r="T129" s="75">
        <v>16100000</v>
      </c>
      <c r="U129" s="88">
        <f t="shared" si="37"/>
        <v>1744279.1099999994</v>
      </c>
      <c r="V129" s="172">
        <v>4.73034880995504E-2</v>
      </c>
    </row>
    <row r="130" spans="6:22" ht="16" x14ac:dyDescent="0.2">
      <c r="F130" s="69">
        <v>64</v>
      </c>
      <c r="G130" s="198">
        <v>346</v>
      </c>
      <c r="H130" s="199">
        <v>100000</v>
      </c>
      <c r="I130" s="200"/>
      <c r="J130" s="200"/>
      <c r="K130" s="198"/>
      <c r="L130" s="104">
        <v>38801.96</v>
      </c>
      <c r="M130" s="88">
        <f t="shared" si="35"/>
        <v>46562.351999999999</v>
      </c>
      <c r="N130" s="104">
        <v>6208.32</v>
      </c>
      <c r="O130" s="104">
        <v>7182.02</v>
      </c>
      <c r="P130" s="104">
        <f t="shared" si="39"/>
        <v>45863.916720000001</v>
      </c>
      <c r="Q130" s="93">
        <v>6503.17</v>
      </c>
      <c r="R130" s="93">
        <f t="shared" si="36"/>
        <v>294.85000000000036</v>
      </c>
      <c r="S130" s="93">
        <v>-15014494.83</v>
      </c>
      <c r="T130" s="75">
        <v>15500000</v>
      </c>
      <c r="U130" s="88">
        <f t="shared" si="37"/>
        <v>485505.16999999993</v>
      </c>
      <c r="V130" s="172">
        <v>4.7218256589461126E-2</v>
      </c>
    </row>
    <row r="131" spans="6:22" ht="16" x14ac:dyDescent="0.2">
      <c r="F131" s="69">
        <v>65</v>
      </c>
      <c r="G131" s="198">
        <v>299</v>
      </c>
      <c r="H131" s="199">
        <v>100000</v>
      </c>
      <c r="I131" s="200"/>
      <c r="J131" s="200"/>
      <c r="K131" s="198"/>
      <c r="L131" s="104">
        <v>40428.68</v>
      </c>
      <c r="M131" s="88">
        <f t="shared" si="35"/>
        <v>48514.415999999997</v>
      </c>
      <c r="N131" s="104">
        <v>6468.59</v>
      </c>
      <c r="O131" s="104">
        <v>7472.62</v>
      </c>
      <c r="P131" s="104">
        <f>M131*(1-$N$136)</f>
        <v>47786.699759999996</v>
      </c>
      <c r="Q131" s="93">
        <v>6770.35</v>
      </c>
      <c r="R131" s="93">
        <f t="shared" si="36"/>
        <v>301.76000000000022</v>
      </c>
      <c r="S131" s="93">
        <v>-16480806.439999999</v>
      </c>
      <c r="T131" s="75">
        <v>16200000</v>
      </c>
      <c r="U131" s="88">
        <f t="shared" si="37"/>
        <v>-280806.43999999948</v>
      </c>
      <c r="V131" s="172">
        <v>4.7516566874773604E-2</v>
      </c>
    </row>
    <row r="132" spans="6:22" x14ac:dyDescent="0.15">
      <c r="G132" s="60"/>
      <c r="H132" s="60"/>
      <c r="I132" s="61"/>
      <c r="J132" s="61"/>
      <c r="K132" s="60"/>
    </row>
    <row r="133" spans="6:22" x14ac:dyDescent="0.15">
      <c r="M133" s="67" t="s">
        <v>146</v>
      </c>
      <c r="N133" s="88">
        <f>SUM(N112:N131)</f>
        <v>89693.549999999988</v>
      </c>
      <c r="P133" s="67" t="s">
        <v>123</v>
      </c>
      <c r="Q133" s="93">
        <f>SUM(Q112:Q131)</f>
        <v>94244.77</v>
      </c>
      <c r="T133" s="67" t="s">
        <v>147</v>
      </c>
      <c r="U133" s="88">
        <f>SUM(U112:U131)</f>
        <v>22792659.859999999</v>
      </c>
    </row>
    <row r="134" spans="6:22" x14ac:dyDescent="0.15">
      <c r="P134" s="69"/>
      <c r="Q134" s="69"/>
      <c r="T134" s="67" t="s">
        <v>148</v>
      </c>
      <c r="U134" s="88">
        <f>SUM(T112:T131)</f>
        <v>188000000</v>
      </c>
    </row>
    <row r="135" spans="6:22" ht="28" x14ac:dyDescent="0.15">
      <c r="M135" s="114" t="s">
        <v>149</v>
      </c>
      <c r="N135" s="161">
        <v>1.4999999999999999E-2</v>
      </c>
      <c r="P135" s="67" t="s">
        <v>150</v>
      </c>
      <c r="Q135" s="72">
        <f>(SUMPRODUCT(V112:V131,Q112:Q131)-SUMPRODUCT(V112:V131,N112:N131))/(SUMPRODUCT(V112:V131,N112:N131))</f>
        <v>5.0820972398253429E-2</v>
      </c>
      <c r="T135" s="67" t="s">
        <v>140</v>
      </c>
      <c r="U135" s="72">
        <f>U133/U134</f>
        <v>0.12123755244680851</v>
      </c>
    </row>
    <row r="136" spans="6:22" ht="28" x14ac:dyDescent="0.15">
      <c r="M136" s="114" t="s">
        <v>151</v>
      </c>
      <c r="N136" s="74">
        <v>1.4999999999999999E-2</v>
      </c>
      <c r="P136" s="67" t="s">
        <v>152</v>
      </c>
      <c r="Q136" s="69">
        <f>SUMPRODUCT(V112:V131,Q112:Q131)</f>
        <v>4676.9206929321772</v>
      </c>
    </row>
    <row r="137" spans="6:22" x14ac:dyDescent="0.15">
      <c r="N137" s="96"/>
      <c r="O137" s="96"/>
    </row>
    <row r="138" spans="6:22" x14ac:dyDescent="0.15">
      <c r="O138" s="96"/>
    </row>
    <row r="139" spans="6:22" x14ac:dyDescent="0.15">
      <c r="L139" s="90"/>
      <c r="O139" s="96"/>
    </row>
    <row r="140" spans="6:22" x14ac:dyDescent="0.15">
      <c r="L140" s="90"/>
      <c r="O140" s="96"/>
    </row>
    <row r="141" spans="6:22" x14ac:dyDescent="0.15">
      <c r="O141" s="96"/>
    </row>
    <row r="142" spans="6:22" x14ac:dyDescent="0.15">
      <c r="O142" s="96"/>
    </row>
    <row r="143" spans="6:22" x14ac:dyDescent="0.15">
      <c r="O143" s="96"/>
    </row>
    <row r="144" spans="6:22" x14ac:dyDescent="0.15">
      <c r="O144" s="96"/>
    </row>
    <row r="145" spans="15:15" x14ac:dyDescent="0.15">
      <c r="O145" s="96"/>
    </row>
    <row r="146" spans="15:15" x14ac:dyDescent="0.15">
      <c r="O146" s="96"/>
    </row>
    <row r="147" spans="15:15" x14ac:dyDescent="0.15">
      <c r="O147" s="96"/>
    </row>
    <row r="148" spans="15:15" x14ac:dyDescent="0.15">
      <c r="O148" s="96"/>
    </row>
    <row r="149" spans="15:15" x14ac:dyDescent="0.15">
      <c r="O149" s="96"/>
    </row>
    <row r="150" spans="15:15" x14ac:dyDescent="0.15">
      <c r="O150" s="96"/>
    </row>
    <row r="151" spans="15:15" x14ac:dyDescent="0.15">
      <c r="O151" s="96"/>
    </row>
    <row r="152" spans="15:15" x14ac:dyDescent="0.15">
      <c r="O152" s="96"/>
    </row>
    <row r="153" spans="15:15" x14ac:dyDescent="0.15">
      <c r="O153" s="96"/>
    </row>
    <row r="154" spans="15:15" x14ac:dyDescent="0.15">
      <c r="O154" s="96"/>
    </row>
    <row r="155" spans="15:15" x14ac:dyDescent="0.15">
      <c r="O155" s="96"/>
    </row>
    <row r="156" spans="15:15" x14ac:dyDescent="0.15">
      <c r="O156" s="96"/>
    </row>
    <row r="157" spans="15:15" x14ac:dyDescent="0.15">
      <c r="O157" s="96"/>
    </row>
  </sheetData>
  <mergeCells count="3">
    <mergeCell ref="AE1:AN1"/>
    <mergeCell ref="S2:X2"/>
    <mergeCell ref="Z2:AC2"/>
  </mergeCell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3" r:id="rId3" name="Button 3">
              <controlPr defaultSize="0" print="0" autoFill="0" autoPict="0" macro="[0]!Automate_NPV_With_Intervention">
                <anchor moveWithCells="1" sizeWithCells="1">
                  <from>
                    <xdr:col>1</xdr:col>
                    <xdr:colOff>304800</xdr:colOff>
                    <xdr:row>42</xdr:row>
                    <xdr:rowOff>139700</xdr:rowOff>
                  </from>
                  <to>
                    <xdr:col>1</xdr:col>
                    <xdr:colOff>1828800</xdr:colOff>
                    <xdr:row>45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E7A6-B085-BC4B-A97A-33C8A2298676}">
  <sheetPr codeName="Sheet13"/>
  <dimension ref="A2:U45"/>
  <sheetViews>
    <sheetView workbookViewId="0">
      <selection activeCell="I33" sqref="I33"/>
    </sheetView>
  </sheetViews>
  <sheetFormatPr baseColWidth="10" defaultColWidth="11.5" defaultRowHeight="13" x14ac:dyDescent="0.15"/>
  <sheetData>
    <row r="2" spans="1:21" x14ac:dyDescent="0.15">
      <c r="A2" t="s">
        <v>104</v>
      </c>
      <c r="B2">
        <v>2004</v>
      </c>
      <c r="C2">
        <v>2005</v>
      </c>
      <c r="D2">
        <v>2006</v>
      </c>
      <c r="E2">
        <v>2007</v>
      </c>
      <c r="F2">
        <v>2008</v>
      </c>
      <c r="G2">
        <v>2009</v>
      </c>
      <c r="H2">
        <v>2010</v>
      </c>
      <c r="I2">
        <v>2011</v>
      </c>
      <c r="J2">
        <v>2012</v>
      </c>
      <c r="K2">
        <v>2013</v>
      </c>
      <c r="L2">
        <v>2014</v>
      </c>
      <c r="M2">
        <v>2015</v>
      </c>
      <c r="N2">
        <v>2016</v>
      </c>
      <c r="O2">
        <v>2017</v>
      </c>
      <c r="P2">
        <v>2018</v>
      </c>
      <c r="Q2">
        <v>2019</v>
      </c>
      <c r="R2">
        <v>2020</v>
      </c>
      <c r="S2">
        <v>2021</v>
      </c>
      <c r="T2">
        <v>2022</v>
      </c>
      <c r="U2">
        <v>2023</v>
      </c>
    </row>
    <row r="3" spans="1:21" x14ac:dyDescent="0.15">
      <c r="A3">
        <v>46</v>
      </c>
      <c r="B3">
        <v>32</v>
      </c>
      <c r="C3">
        <v>45</v>
      </c>
      <c r="D3">
        <v>65</v>
      </c>
      <c r="E3">
        <v>62</v>
      </c>
      <c r="F3">
        <v>56</v>
      </c>
      <c r="G3">
        <v>71</v>
      </c>
      <c r="H3">
        <v>64</v>
      </c>
      <c r="I3">
        <v>86</v>
      </c>
      <c r="J3">
        <v>97</v>
      </c>
      <c r="K3">
        <v>111</v>
      </c>
      <c r="L3">
        <v>104</v>
      </c>
      <c r="M3">
        <v>105</v>
      </c>
      <c r="N3">
        <v>115</v>
      </c>
      <c r="O3">
        <v>128</v>
      </c>
      <c r="P3">
        <v>133</v>
      </c>
      <c r="Q3">
        <v>166</v>
      </c>
      <c r="R3">
        <v>190</v>
      </c>
      <c r="S3">
        <v>175</v>
      </c>
      <c r="T3">
        <v>186</v>
      </c>
      <c r="U3">
        <v>210</v>
      </c>
    </row>
    <row r="4" spans="1:21" x14ac:dyDescent="0.15">
      <c r="A4">
        <v>47</v>
      </c>
      <c r="B4">
        <v>41</v>
      </c>
      <c r="C4">
        <v>36</v>
      </c>
      <c r="D4">
        <v>59</v>
      </c>
      <c r="E4">
        <v>62</v>
      </c>
      <c r="F4">
        <v>68</v>
      </c>
      <c r="G4">
        <v>73</v>
      </c>
      <c r="H4">
        <v>62</v>
      </c>
      <c r="I4">
        <v>80</v>
      </c>
      <c r="J4">
        <v>95</v>
      </c>
      <c r="K4">
        <v>93</v>
      </c>
      <c r="L4">
        <v>114</v>
      </c>
      <c r="M4">
        <v>102</v>
      </c>
      <c r="N4">
        <v>113</v>
      </c>
      <c r="O4">
        <v>121</v>
      </c>
      <c r="P4">
        <v>151</v>
      </c>
      <c r="Q4">
        <v>179</v>
      </c>
      <c r="R4">
        <v>167</v>
      </c>
      <c r="S4">
        <v>188</v>
      </c>
      <c r="T4">
        <v>181</v>
      </c>
      <c r="U4">
        <v>196</v>
      </c>
    </row>
    <row r="5" spans="1:21" x14ac:dyDescent="0.15">
      <c r="A5">
        <v>48</v>
      </c>
      <c r="B5">
        <v>35</v>
      </c>
      <c r="C5">
        <v>44</v>
      </c>
      <c r="D5">
        <v>47</v>
      </c>
      <c r="E5">
        <v>47</v>
      </c>
      <c r="F5">
        <v>66</v>
      </c>
      <c r="G5">
        <v>72</v>
      </c>
      <c r="H5">
        <v>79</v>
      </c>
      <c r="I5">
        <v>69</v>
      </c>
      <c r="J5">
        <v>82</v>
      </c>
      <c r="K5">
        <v>103</v>
      </c>
      <c r="L5">
        <v>105</v>
      </c>
      <c r="M5">
        <v>118</v>
      </c>
      <c r="N5">
        <v>128</v>
      </c>
      <c r="O5">
        <v>117</v>
      </c>
      <c r="P5">
        <v>135</v>
      </c>
      <c r="Q5">
        <v>134</v>
      </c>
      <c r="R5">
        <v>161</v>
      </c>
      <c r="S5">
        <v>196</v>
      </c>
      <c r="T5">
        <v>179</v>
      </c>
      <c r="U5">
        <v>190</v>
      </c>
    </row>
    <row r="6" spans="1:21" x14ac:dyDescent="0.15">
      <c r="A6">
        <v>49</v>
      </c>
      <c r="B6">
        <v>46</v>
      </c>
      <c r="C6">
        <v>41</v>
      </c>
      <c r="D6">
        <v>41</v>
      </c>
      <c r="E6">
        <v>58</v>
      </c>
      <c r="F6">
        <v>56</v>
      </c>
      <c r="G6">
        <v>57</v>
      </c>
      <c r="H6">
        <v>77</v>
      </c>
      <c r="I6">
        <v>74</v>
      </c>
      <c r="J6">
        <v>95</v>
      </c>
      <c r="K6">
        <v>98</v>
      </c>
      <c r="L6">
        <v>122</v>
      </c>
      <c r="M6">
        <v>105</v>
      </c>
      <c r="N6">
        <v>122</v>
      </c>
      <c r="O6">
        <v>123</v>
      </c>
      <c r="P6">
        <v>147</v>
      </c>
      <c r="Q6">
        <v>144</v>
      </c>
      <c r="R6">
        <v>168</v>
      </c>
      <c r="S6">
        <v>204</v>
      </c>
      <c r="T6">
        <v>170</v>
      </c>
      <c r="U6">
        <v>219</v>
      </c>
    </row>
    <row r="7" spans="1:21" x14ac:dyDescent="0.15">
      <c r="A7">
        <v>50</v>
      </c>
      <c r="B7">
        <v>32</v>
      </c>
      <c r="C7">
        <v>35</v>
      </c>
      <c r="D7">
        <v>53</v>
      </c>
      <c r="E7">
        <v>54</v>
      </c>
      <c r="F7">
        <v>50</v>
      </c>
      <c r="G7">
        <v>66</v>
      </c>
      <c r="H7">
        <v>66</v>
      </c>
      <c r="I7">
        <v>78</v>
      </c>
      <c r="J7">
        <v>95</v>
      </c>
      <c r="K7">
        <v>99</v>
      </c>
      <c r="L7">
        <v>102</v>
      </c>
      <c r="M7">
        <v>105</v>
      </c>
      <c r="N7">
        <v>115</v>
      </c>
      <c r="O7">
        <v>110</v>
      </c>
      <c r="P7">
        <v>146</v>
      </c>
      <c r="Q7">
        <v>167</v>
      </c>
      <c r="R7">
        <v>172</v>
      </c>
      <c r="S7">
        <v>177</v>
      </c>
      <c r="T7">
        <v>183</v>
      </c>
      <c r="U7">
        <v>212</v>
      </c>
    </row>
    <row r="8" spans="1:21" x14ac:dyDescent="0.15">
      <c r="A8">
        <v>51</v>
      </c>
      <c r="B8">
        <v>35</v>
      </c>
      <c r="C8">
        <v>42</v>
      </c>
      <c r="D8">
        <v>63</v>
      </c>
      <c r="E8">
        <v>53</v>
      </c>
      <c r="F8">
        <v>57</v>
      </c>
      <c r="G8">
        <v>57</v>
      </c>
      <c r="H8">
        <v>82</v>
      </c>
      <c r="I8">
        <v>80</v>
      </c>
      <c r="J8">
        <v>97</v>
      </c>
      <c r="K8">
        <v>90</v>
      </c>
      <c r="L8">
        <v>101</v>
      </c>
      <c r="M8">
        <v>103</v>
      </c>
      <c r="N8">
        <v>114</v>
      </c>
      <c r="O8">
        <v>130</v>
      </c>
      <c r="P8">
        <v>131</v>
      </c>
      <c r="Q8">
        <v>165</v>
      </c>
      <c r="R8">
        <v>186</v>
      </c>
      <c r="S8">
        <v>203</v>
      </c>
      <c r="T8">
        <v>180</v>
      </c>
      <c r="U8">
        <v>198</v>
      </c>
    </row>
    <row r="9" spans="1:21" x14ac:dyDescent="0.15">
      <c r="A9">
        <v>52</v>
      </c>
      <c r="B9">
        <v>27</v>
      </c>
      <c r="C9">
        <v>41</v>
      </c>
      <c r="D9">
        <v>56</v>
      </c>
      <c r="E9">
        <v>48</v>
      </c>
      <c r="F9">
        <v>46</v>
      </c>
      <c r="G9">
        <v>59</v>
      </c>
      <c r="H9">
        <v>69</v>
      </c>
      <c r="I9">
        <v>89</v>
      </c>
      <c r="J9">
        <v>85</v>
      </c>
      <c r="K9">
        <v>109</v>
      </c>
      <c r="L9">
        <v>94</v>
      </c>
      <c r="M9">
        <v>131</v>
      </c>
      <c r="N9">
        <v>110</v>
      </c>
      <c r="O9">
        <v>120</v>
      </c>
      <c r="P9">
        <v>147</v>
      </c>
      <c r="Q9">
        <v>146</v>
      </c>
      <c r="R9">
        <v>203</v>
      </c>
      <c r="S9">
        <v>199</v>
      </c>
      <c r="T9">
        <v>187</v>
      </c>
      <c r="U9">
        <v>190</v>
      </c>
    </row>
    <row r="10" spans="1:21" x14ac:dyDescent="0.15">
      <c r="A10">
        <v>53</v>
      </c>
      <c r="B10">
        <v>35</v>
      </c>
      <c r="C10">
        <v>46</v>
      </c>
      <c r="D10">
        <v>48</v>
      </c>
      <c r="E10">
        <v>58</v>
      </c>
      <c r="F10">
        <v>54</v>
      </c>
      <c r="G10">
        <v>67</v>
      </c>
      <c r="H10">
        <v>76</v>
      </c>
      <c r="I10">
        <v>85</v>
      </c>
      <c r="J10">
        <v>100</v>
      </c>
      <c r="K10">
        <v>98</v>
      </c>
      <c r="L10">
        <v>112</v>
      </c>
      <c r="M10">
        <v>126</v>
      </c>
      <c r="N10">
        <v>127</v>
      </c>
      <c r="O10">
        <v>113</v>
      </c>
      <c r="P10">
        <v>147</v>
      </c>
      <c r="Q10">
        <v>162</v>
      </c>
      <c r="R10">
        <v>192</v>
      </c>
      <c r="S10">
        <v>186</v>
      </c>
      <c r="T10">
        <v>180</v>
      </c>
      <c r="U10">
        <v>196</v>
      </c>
    </row>
    <row r="11" spans="1:21" x14ac:dyDescent="0.15">
      <c r="A11">
        <v>54</v>
      </c>
      <c r="B11">
        <v>32</v>
      </c>
      <c r="C11">
        <v>30</v>
      </c>
      <c r="D11">
        <v>57</v>
      </c>
      <c r="E11">
        <v>60</v>
      </c>
      <c r="F11">
        <v>63</v>
      </c>
      <c r="G11">
        <v>68</v>
      </c>
      <c r="H11">
        <v>73</v>
      </c>
      <c r="I11">
        <v>83</v>
      </c>
      <c r="J11">
        <v>100</v>
      </c>
      <c r="K11">
        <v>102</v>
      </c>
      <c r="L11">
        <v>87</v>
      </c>
      <c r="M11">
        <v>114</v>
      </c>
      <c r="N11">
        <v>122</v>
      </c>
      <c r="O11">
        <v>142</v>
      </c>
      <c r="P11">
        <v>118</v>
      </c>
      <c r="Q11">
        <v>158</v>
      </c>
      <c r="R11">
        <v>169</v>
      </c>
      <c r="S11">
        <v>173</v>
      </c>
      <c r="T11">
        <v>181</v>
      </c>
      <c r="U11">
        <v>177</v>
      </c>
    </row>
    <row r="12" spans="1:21" x14ac:dyDescent="0.15">
      <c r="A12">
        <v>55</v>
      </c>
      <c r="B12">
        <v>34</v>
      </c>
      <c r="C12">
        <v>38</v>
      </c>
      <c r="D12">
        <v>45</v>
      </c>
      <c r="E12">
        <v>62</v>
      </c>
      <c r="F12">
        <v>56</v>
      </c>
      <c r="G12">
        <v>83</v>
      </c>
      <c r="H12">
        <v>78</v>
      </c>
      <c r="I12">
        <v>72</v>
      </c>
      <c r="J12">
        <v>96</v>
      </c>
      <c r="K12">
        <v>95</v>
      </c>
      <c r="L12">
        <v>123</v>
      </c>
      <c r="M12">
        <v>113</v>
      </c>
      <c r="N12">
        <v>141</v>
      </c>
      <c r="O12">
        <v>135</v>
      </c>
      <c r="P12">
        <v>159</v>
      </c>
      <c r="Q12">
        <v>159</v>
      </c>
      <c r="R12">
        <v>184</v>
      </c>
      <c r="S12">
        <v>165</v>
      </c>
      <c r="T12">
        <v>182</v>
      </c>
      <c r="U12">
        <v>178</v>
      </c>
    </row>
    <row r="13" spans="1:21" x14ac:dyDescent="0.15">
      <c r="A13">
        <v>56</v>
      </c>
      <c r="B13">
        <v>29</v>
      </c>
      <c r="C13">
        <v>35</v>
      </c>
      <c r="D13">
        <v>51</v>
      </c>
      <c r="E13">
        <v>47</v>
      </c>
      <c r="F13">
        <v>40</v>
      </c>
      <c r="G13">
        <v>82</v>
      </c>
      <c r="H13">
        <v>78</v>
      </c>
      <c r="I13">
        <v>68</v>
      </c>
      <c r="J13">
        <v>87</v>
      </c>
      <c r="K13">
        <v>104</v>
      </c>
      <c r="L13">
        <v>116</v>
      </c>
      <c r="M13">
        <v>118</v>
      </c>
      <c r="N13">
        <v>139</v>
      </c>
      <c r="O13">
        <v>119</v>
      </c>
      <c r="P13">
        <v>156</v>
      </c>
      <c r="Q13">
        <v>174</v>
      </c>
      <c r="R13">
        <v>168</v>
      </c>
      <c r="S13">
        <v>180</v>
      </c>
      <c r="T13">
        <v>172</v>
      </c>
      <c r="U13">
        <v>212</v>
      </c>
    </row>
    <row r="14" spans="1:21" x14ac:dyDescent="0.15">
      <c r="A14">
        <v>57</v>
      </c>
      <c r="B14">
        <v>47</v>
      </c>
      <c r="C14">
        <v>30</v>
      </c>
      <c r="D14">
        <v>54</v>
      </c>
      <c r="E14">
        <v>71</v>
      </c>
      <c r="F14">
        <v>63</v>
      </c>
      <c r="G14">
        <v>74</v>
      </c>
      <c r="H14">
        <v>91</v>
      </c>
      <c r="I14">
        <v>84</v>
      </c>
      <c r="J14">
        <v>83</v>
      </c>
      <c r="K14">
        <v>105</v>
      </c>
      <c r="L14">
        <v>95</v>
      </c>
      <c r="M14">
        <v>117</v>
      </c>
      <c r="N14">
        <v>142</v>
      </c>
      <c r="O14">
        <v>140</v>
      </c>
      <c r="P14">
        <v>145</v>
      </c>
      <c r="Q14">
        <v>169</v>
      </c>
      <c r="R14">
        <v>189</v>
      </c>
      <c r="S14">
        <v>227</v>
      </c>
      <c r="T14">
        <v>180</v>
      </c>
      <c r="U14">
        <v>203</v>
      </c>
    </row>
    <row r="15" spans="1:21" x14ac:dyDescent="0.15">
      <c r="A15">
        <v>58</v>
      </c>
      <c r="B15">
        <v>20</v>
      </c>
      <c r="C15">
        <v>33</v>
      </c>
      <c r="D15">
        <v>57</v>
      </c>
      <c r="E15">
        <v>63</v>
      </c>
      <c r="F15">
        <v>60</v>
      </c>
      <c r="G15">
        <v>60</v>
      </c>
      <c r="H15">
        <v>70</v>
      </c>
      <c r="I15">
        <v>82</v>
      </c>
      <c r="J15">
        <v>85</v>
      </c>
      <c r="K15">
        <v>102</v>
      </c>
      <c r="L15">
        <v>112</v>
      </c>
      <c r="M15">
        <v>110</v>
      </c>
      <c r="N15">
        <v>135</v>
      </c>
      <c r="O15">
        <v>124</v>
      </c>
      <c r="P15">
        <v>144</v>
      </c>
      <c r="Q15">
        <v>150</v>
      </c>
      <c r="R15">
        <v>191</v>
      </c>
      <c r="S15">
        <v>161</v>
      </c>
      <c r="T15">
        <v>189</v>
      </c>
      <c r="U15">
        <v>183</v>
      </c>
    </row>
    <row r="16" spans="1:21" x14ac:dyDescent="0.15">
      <c r="A16">
        <v>59</v>
      </c>
      <c r="B16">
        <v>32</v>
      </c>
      <c r="C16">
        <v>40</v>
      </c>
      <c r="D16">
        <v>50</v>
      </c>
      <c r="E16">
        <v>65</v>
      </c>
      <c r="F16">
        <v>66</v>
      </c>
      <c r="G16">
        <v>75</v>
      </c>
      <c r="H16">
        <v>76</v>
      </c>
      <c r="I16">
        <v>76</v>
      </c>
      <c r="J16">
        <v>94</v>
      </c>
      <c r="K16">
        <v>108</v>
      </c>
      <c r="L16">
        <v>108</v>
      </c>
      <c r="M16">
        <v>93</v>
      </c>
      <c r="N16">
        <v>118</v>
      </c>
      <c r="O16">
        <v>136</v>
      </c>
      <c r="P16">
        <v>146</v>
      </c>
      <c r="Q16">
        <v>164</v>
      </c>
      <c r="R16">
        <v>168</v>
      </c>
      <c r="S16">
        <v>174</v>
      </c>
      <c r="T16">
        <v>172</v>
      </c>
      <c r="U16">
        <v>191</v>
      </c>
    </row>
    <row r="17" spans="1:21" x14ac:dyDescent="0.15">
      <c r="A17">
        <v>60</v>
      </c>
      <c r="B17">
        <v>29</v>
      </c>
      <c r="C17">
        <v>26</v>
      </c>
      <c r="D17">
        <v>48</v>
      </c>
      <c r="E17">
        <v>60</v>
      </c>
      <c r="F17">
        <v>52</v>
      </c>
      <c r="G17">
        <v>62</v>
      </c>
      <c r="H17">
        <v>78</v>
      </c>
      <c r="I17">
        <v>99</v>
      </c>
      <c r="J17">
        <v>94</v>
      </c>
      <c r="K17">
        <v>107</v>
      </c>
      <c r="L17">
        <v>106</v>
      </c>
      <c r="M17">
        <v>124</v>
      </c>
      <c r="N17">
        <v>126</v>
      </c>
      <c r="O17">
        <v>132</v>
      </c>
      <c r="P17">
        <v>150</v>
      </c>
      <c r="Q17">
        <v>179</v>
      </c>
      <c r="R17">
        <v>162</v>
      </c>
      <c r="S17">
        <v>200</v>
      </c>
      <c r="T17">
        <v>174</v>
      </c>
      <c r="U17">
        <v>175</v>
      </c>
    </row>
    <row r="18" spans="1:21" x14ac:dyDescent="0.15">
      <c r="A18">
        <v>61</v>
      </c>
      <c r="B18">
        <v>36</v>
      </c>
      <c r="C18">
        <v>31</v>
      </c>
      <c r="D18">
        <v>56</v>
      </c>
      <c r="E18">
        <v>69</v>
      </c>
      <c r="F18">
        <v>66</v>
      </c>
      <c r="G18">
        <v>65</v>
      </c>
      <c r="H18">
        <v>65</v>
      </c>
      <c r="I18">
        <v>93</v>
      </c>
      <c r="J18">
        <v>108</v>
      </c>
      <c r="K18">
        <v>120</v>
      </c>
      <c r="L18">
        <v>99</v>
      </c>
      <c r="M18">
        <v>107</v>
      </c>
      <c r="N18">
        <v>106</v>
      </c>
      <c r="O18">
        <v>150</v>
      </c>
      <c r="P18">
        <v>153</v>
      </c>
      <c r="Q18">
        <v>150</v>
      </c>
      <c r="R18">
        <v>193</v>
      </c>
      <c r="S18">
        <v>190</v>
      </c>
      <c r="T18">
        <v>169</v>
      </c>
      <c r="U18">
        <v>223</v>
      </c>
    </row>
    <row r="19" spans="1:21" x14ac:dyDescent="0.15">
      <c r="A19">
        <v>62</v>
      </c>
      <c r="B19">
        <v>30</v>
      </c>
      <c r="C19">
        <v>35</v>
      </c>
      <c r="D19">
        <v>45</v>
      </c>
      <c r="E19">
        <v>45</v>
      </c>
      <c r="F19">
        <v>50</v>
      </c>
      <c r="G19">
        <v>76</v>
      </c>
      <c r="H19">
        <v>66</v>
      </c>
      <c r="I19">
        <v>85</v>
      </c>
      <c r="J19">
        <v>90</v>
      </c>
      <c r="K19">
        <v>99</v>
      </c>
      <c r="L19">
        <v>101</v>
      </c>
      <c r="M19">
        <v>100</v>
      </c>
      <c r="N19">
        <v>126</v>
      </c>
      <c r="O19">
        <v>123</v>
      </c>
      <c r="P19">
        <v>125</v>
      </c>
      <c r="Q19">
        <v>139</v>
      </c>
      <c r="R19">
        <v>171</v>
      </c>
      <c r="S19">
        <v>199</v>
      </c>
      <c r="T19">
        <v>188</v>
      </c>
      <c r="U19">
        <v>191</v>
      </c>
    </row>
    <row r="20" spans="1:21" x14ac:dyDescent="0.15">
      <c r="A20">
        <v>63</v>
      </c>
      <c r="B20">
        <v>31</v>
      </c>
      <c r="C20">
        <v>43</v>
      </c>
      <c r="D20">
        <v>53</v>
      </c>
      <c r="E20">
        <v>51</v>
      </c>
      <c r="F20">
        <v>46</v>
      </c>
      <c r="G20">
        <v>64</v>
      </c>
      <c r="H20">
        <v>87</v>
      </c>
      <c r="I20">
        <v>74</v>
      </c>
      <c r="J20">
        <v>104</v>
      </c>
      <c r="K20">
        <v>99</v>
      </c>
      <c r="L20">
        <v>118</v>
      </c>
      <c r="M20">
        <v>98</v>
      </c>
      <c r="N20">
        <v>117</v>
      </c>
      <c r="O20">
        <v>134</v>
      </c>
      <c r="P20">
        <v>151</v>
      </c>
      <c r="Q20">
        <v>173</v>
      </c>
      <c r="R20">
        <v>176</v>
      </c>
      <c r="S20">
        <v>208</v>
      </c>
      <c r="T20">
        <v>180</v>
      </c>
      <c r="U20">
        <v>227</v>
      </c>
    </row>
    <row r="21" spans="1:21" x14ac:dyDescent="0.15">
      <c r="A21">
        <v>64</v>
      </c>
      <c r="B21">
        <v>28</v>
      </c>
      <c r="C21">
        <v>36</v>
      </c>
      <c r="D21">
        <v>41</v>
      </c>
      <c r="E21">
        <v>48</v>
      </c>
      <c r="F21">
        <v>52</v>
      </c>
      <c r="G21">
        <v>60</v>
      </c>
      <c r="H21">
        <v>72</v>
      </c>
      <c r="I21">
        <v>90</v>
      </c>
      <c r="J21">
        <v>74</v>
      </c>
      <c r="K21">
        <v>92</v>
      </c>
      <c r="L21">
        <v>97</v>
      </c>
      <c r="M21">
        <v>109</v>
      </c>
      <c r="N21">
        <v>135</v>
      </c>
      <c r="O21">
        <v>133</v>
      </c>
      <c r="P21">
        <v>167</v>
      </c>
      <c r="Q21">
        <v>171</v>
      </c>
      <c r="R21">
        <v>195</v>
      </c>
      <c r="S21">
        <v>200</v>
      </c>
      <c r="T21">
        <v>183</v>
      </c>
      <c r="U21">
        <v>208</v>
      </c>
    </row>
    <row r="22" spans="1:21" x14ac:dyDescent="0.15">
      <c r="A22">
        <v>65</v>
      </c>
      <c r="B22">
        <v>26</v>
      </c>
      <c r="C22">
        <v>29</v>
      </c>
      <c r="D22">
        <v>39</v>
      </c>
      <c r="E22">
        <v>47</v>
      </c>
      <c r="F22">
        <v>54</v>
      </c>
      <c r="G22">
        <v>69</v>
      </c>
      <c r="H22">
        <v>70</v>
      </c>
      <c r="I22">
        <v>81</v>
      </c>
      <c r="J22">
        <v>105</v>
      </c>
      <c r="K22">
        <v>108</v>
      </c>
      <c r="L22">
        <v>96</v>
      </c>
      <c r="M22">
        <v>102</v>
      </c>
      <c r="N22">
        <v>111</v>
      </c>
      <c r="O22">
        <v>131</v>
      </c>
      <c r="P22">
        <v>144</v>
      </c>
      <c r="Q22">
        <v>177</v>
      </c>
      <c r="R22">
        <v>191</v>
      </c>
      <c r="S22">
        <v>204</v>
      </c>
      <c r="T22">
        <v>170</v>
      </c>
      <c r="U22">
        <v>206</v>
      </c>
    </row>
    <row r="25" spans="1:21" x14ac:dyDescent="0.15">
      <c r="A25" t="s">
        <v>104</v>
      </c>
      <c r="B25">
        <v>46</v>
      </c>
      <c r="C25">
        <v>47</v>
      </c>
      <c r="D25">
        <v>48</v>
      </c>
      <c r="E25">
        <v>49</v>
      </c>
      <c r="F25">
        <v>50</v>
      </c>
      <c r="G25">
        <v>51</v>
      </c>
      <c r="H25">
        <v>52</v>
      </c>
      <c r="I25">
        <v>53</v>
      </c>
      <c r="J25">
        <v>54</v>
      </c>
      <c r="K25">
        <v>55</v>
      </c>
      <c r="L25">
        <v>56</v>
      </c>
      <c r="M25">
        <v>57</v>
      </c>
      <c r="N25">
        <v>58</v>
      </c>
      <c r="O25">
        <v>59</v>
      </c>
      <c r="P25">
        <v>60</v>
      </c>
      <c r="Q25">
        <v>61</v>
      </c>
      <c r="R25">
        <v>62</v>
      </c>
      <c r="S25">
        <v>63</v>
      </c>
      <c r="T25">
        <v>64</v>
      </c>
      <c r="U25">
        <v>65</v>
      </c>
    </row>
    <row r="26" spans="1:21" x14ac:dyDescent="0.15">
      <c r="A26">
        <v>2004</v>
      </c>
      <c r="B26">
        <v>32</v>
      </c>
      <c r="C26">
        <v>41</v>
      </c>
      <c r="D26">
        <v>35</v>
      </c>
      <c r="E26">
        <v>46</v>
      </c>
      <c r="F26">
        <v>32</v>
      </c>
      <c r="G26">
        <v>35</v>
      </c>
      <c r="H26">
        <v>27</v>
      </c>
      <c r="I26">
        <v>35</v>
      </c>
      <c r="J26">
        <v>32</v>
      </c>
      <c r="K26">
        <v>34</v>
      </c>
      <c r="L26">
        <v>29</v>
      </c>
      <c r="M26">
        <v>47</v>
      </c>
      <c r="N26">
        <v>20</v>
      </c>
      <c r="O26">
        <v>32</v>
      </c>
      <c r="P26">
        <v>29</v>
      </c>
      <c r="Q26">
        <v>36</v>
      </c>
      <c r="R26">
        <v>30</v>
      </c>
      <c r="S26">
        <v>31</v>
      </c>
      <c r="T26">
        <v>28</v>
      </c>
      <c r="U26">
        <v>26</v>
      </c>
    </row>
    <row r="27" spans="1:21" x14ac:dyDescent="0.15">
      <c r="A27">
        <v>2005</v>
      </c>
      <c r="B27">
        <v>45</v>
      </c>
      <c r="C27">
        <v>36</v>
      </c>
      <c r="D27">
        <v>44</v>
      </c>
      <c r="E27">
        <v>41</v>
      </c>
      <c r="F27">
        <v>35</v>
      </c>
      <c r="G27">
        <v>42</v>
      </c>
      <c r="H27">
        <v>41</v>
      </c>
      <c r="I27">
        <v>46</v>
      </c>
      <c r="J27">
        <v>30</v>
      </c>
      <c r="K27">
        <v>38</v>
      </c>
      <c r="L27">
        <v>35</v>
      </c>
      <c r="M27">
        <v>30</v>
      </c>
      <c r="N27">
        <v>33</v>
      </c>
      <c r="O27">
        <v>40</v>
      </c>
      <c r="P27">
        <v>26</v>
      </c>
      <c r="Q27">
        <v>31</v>
      </c>
      <c r="R27">
        <v>35</v>
      </c>
      <c r="S27">
        <v>43</v>
      </c>
      <c r="T27">
        <v>36</v>
      </c>
      <c r="U27">
        <v>29</v>
      </c>
    </row>
    <row r="28" spans="1:21" x14ac:dyDescent="0.15">
      <c r="A28">
        <v>2006</v>
      </c>
      <c r="B28">
        <v>65</v>
      </c>
      <c r="C28">
        <v>59</v>
      </c>
      <c r="D28">
        <v>47</v>
      </c>
      <c r="E28">
        <v>41</v>
      </c>
      <c r="F28">
        <v>53</v>
      </c>
      <c r="G28">
        <v>63</v>
      </c>
      <c r="H28">
        <v>56</v>
      </c>
      <c r="I28">
        <v>48</v>
      </c>
      <c r="J28">
        <v>57</v>
      </c>
      <c r="K28">
        <v>45</v>
      </c>
      <c r="L28">
        <v>51</v>
      </c>
      <c r="M28">
        <v>54</v>
      </c>
      <c r="N28">
        <v>57</v>
      </c>
      <c r="O28">
        <v>50</v>
      </c>
      <c r="P28">
        <v>48</v>
      </c>
      <c r="Q28">
        <v>56</v>
      </c>
      <c r="R28">
        <v>45</v>
      </c>
      <c r="S28">
        <v>53</v>
      </c>
      <c r="T28">
        <v>41</v>
      </c>
      <c r="U28">
        <v>39</v>
      </c>
    </row>
    <row r="29" spans="1:21" x14ac:dyDescent="0.15">
      <c r="A29">
        <v>2007</v>
      </c>
      <c r="B29">
        <v>62</v>
      </c>
      <c r="C29">
        <v>62</v>
      </c>
      <c r="D29">
        <v>47</v>
      </c>
      <c r="E29">
        <v>58</v>
      </c>
      <c r="F29">
        <v>54</v>
      </c>
      <c r="G29">
        <v>53</v>
      </c>
      <c r="H29">
        <v>48</v>
      </c>
      <c r="I29">
        <v>58</v>
      </c>
      <c r="J29">
        <v>60</v>
      </c>
      <c r="K29">
        <v>62</v>
      </c>
      <c r="L29">
        <v>47</v>
      </c>
      <c r="M29">
        <v>71</v>
      </c>
      <c r="N29">
        <v>63</v>
      </c>
      <c r="O29">
        <v>65</v>
      </c>
      <c r="P29">
        <v>60</v>
      </c>
      <c r="Q29">
        <v>69</v>
      </c>
      <c r="R29">
        <v>45</v>
      </c>
      <c r="S29">
        <v>51</v>
      </c>
      <c r="T29">
        <v>48</v>
      </c>
      <c r="U29">
        <v>47</v>
      </c>
    </row>
    <row r="30" spans="1:21" x14ac:dyDescent="0.15">
      <c r="A30">
        <v>2008</v>
      </c>
      <c r="B30">
        <v>56</v>
      </c>
      <c r="C30">
        <v>68</v>
      </c>
      <c r="D30">
        <v>66</v>
      </c>
      <c r="E30">
        <v>56</v>
      </c>
      <c r="F30">
        <v>50</v>
      </c>
      <c r="G30">
        <v>57</v>
      </c>
      <c r="H30">
        <v>46</v>
      </c>
      <c r="I30">
        <v>54</v>
      </c>
      <c r="J30">
        <v>63</v>
      </c>
      <c r="K30">
        <v>56</v>
      </c>
      <c r="L30">
        <v>40</v>
      </c>
      <c r="M30">
        <v>63</v>
      </c>
      <c r="N30">
        <v>60</v>
      </c>
      <c r="O30">
        <v>66</v>
      </c>
      <c r="P30">
        <v>52</v>
      </c>
      <c r="Q30">
        <v>66</v>
      </c>
      <c r="R30">
        <v>50</v>
      </c>
      <c r="S30">
        <v>46</v>
      </c>
      <c r="T30">
        <v>52</v>
      </c>
      <c r="U30">
        <v>54</v>
      </c>
    </row>
    <row r="31" spans="1:21" x14ac:dyDescent="0.15">
      <c r="A31">
        <v>2009</v>
      </c>
      <c r="B31">
        <v>71</v>
      </c>
      <c r="C31">
        <v>73</v>
      </c>
      <c r="D31">
        <v>72</v>
      </c>
      <c r="E31">
        <v>57</v>
      </c>
      <c r="F31">
        <v>66</v>
      </c>
      <c r="G31">
        <v>57</v>
      </c>
      <c r="H31">
        <v>59</v>
      </c>
      <c r="I31">
        <v>67</v>
      </c>
      <c r="J31">
        <v>68</v>
      </c>
      <c r="K31">
        <v>83</v>
      </c>
      <c r="L31">
        <v>82</v>
      </c>
      <c r="M31">
        <v>74</v>
      </c>
      <c r="N31">
        <v>60</v>
      </c>
      <c r="O31">
        <v>75</v>
      </c>
      <c r="P31">
        <v>62</v>
      </c>
      <c r="Q31">
        <v>65</v>
      </c>
      <c r="R31">
        <v>76</v>
      </c>
      <c r="S31">
        <v>64</v>
      </c>
      <c r="T31">
        <v>60</v>
      </c>
      <c r="U31">
        <v>69</v>
      </c>
    </row>
    <row r="32" spans="1:21" x14ac:dyDescent="0.15">
      <c r="A32">
        <v>2010</v>
      </c>
      <c r="B32">
        <v>64</v>
      </c>
      <c r="C32">
        <v>62</v>
      </c>
      <c r="D32">
        <v>79</v>
      </c>
      <c r="E32">
        <v>77</v>
      </c>
      <c r="F32">
        <v>66</v>
      </c>
      <c r="G32">
        <v>82</v>
      </c>
      <c r="H32">
        <v>69</v>
      </c>
      <c r="I32">
        <v>76</v>
      </c>
      <c r="J32">
        <v>73</v>
      </c>
      <c r="K32">
        <v>78</v>
      </c>
      <c r="L32">
        <v>78</v>
      </c>
      <c r="M32">
        <v>91</v>
      </c>
      <c r="N32">
        <v>70</v>
      </c>
      <c r="O32">
        <v>76</v>
      </c>
      <c r="P32">
        <v>78</v>
      </c>
      <c r="Q32">
        <v>65</v>
      </c>
      <c r="R32">
        <v>66</v>
      </c>
      <c r="S32">
        <v>87</v>
      </c>
      <c r="T32">
        <v>72</v>
      </c>
      <c r="U32">
        <v>70</v>
      </c>
    </row>
    <row r="33" spans="1:21" x14ac:dyDescent="0.15">
      <c r="A33">
        <v>2011</v>
      </c>
      <c r="B33">
        <v>86</v>
      </c>
      <c r="C33">
        <v>80</v>
      </c>
      <c r="D33">
        <v>69</v>
      </c>
      <c r="E33">
        <v>74</v>
      </c>
      <c r="F33">
        <v>78</v>
      </c>
      <c r="G33">
        <v>80</v>
      </c>
      <c r="H33">
        <v>89</v>
      </c>
      <c r="I33">
        <v>85</v>
      </c>
      <c r="J33">
        <v>83</v>
      </c>
      <c r="K33">
        <v>72</v>
      </c>
      <c r="L33">
        <v>68</v>
      </c>
      <c r="M33">
        <v>84</v>
      </c>
      <c r="N33">
        <v>82</v>
      </c>
      <c r="O33">
        <v>76</v>
      </c>
      <c r="P33">
        <v>99</v>
      </c>
      <c r="Q33">
        <v>93</v>
      </c>
      <c r="R33">
        <v>85</v>
      </c>
      <c r="S33">
        <v>74</v>
      </c>
      <c r="T33">
        <v>90</v>
      </c>
      <c r="U33">
        <v>81</v>
      </c>
    </row>
    <row r="34" spans="1:21" x14ac:dyDescent="0.15">
      <c r="A34">
        <v>2012</v>
      </c>
      <c r="B34">
        <v>97</v>
      </c>
      <c r="C34">
        <v>95</v>
      </c>
      <c r="D34">
        <v>82</v>
      </c>
      <c r="E34">
        <v>95</v>
      </c>
      <c r="F34">
        <v>95</v>
      </c>
      <c r="G34">
        <v>97</v>
      </c>
      <c r="H34">
        <v>85</v>
      </c>
      <c r="I34">
        <v>100</v>
      </c>
      <c r="J34">
        <v>100</v>
      </c>
      <c r="K34">
        <v>96</v>
      </c>
      <c r="L34">
        <v>87</v>
      </c>
      <c r="M34">
        <v>83</v>
      </c>
      <c r="N34">
        <v>85</v>
      </c>
      <c r="O34">
        <v>94</v>
      </c>
      <c r="P34">
        <v>94</v>
      </c>
      <c r="Q34">
        <v>108</v>
      </c>
      <c r="R34">
        <v>90</v>
      </c>
      <c r="S34">
        <v>104</v>
      </c>
      <c r="T34">
        <v>74</v>
      </c>
      <c r="U34">
        <v>105</v>
      </c>
    </row>
    <row r="35" spans="1:21" x14ac:dyDescent="0.15">
      <c r="A35">
        <v>2013</v>
      </c>
      <c r="B35">
        <v>111</v>
      </c>
      <c r="C35">
        <v>93</v>
      </c>
      <c r="D35">
        <v>103</v>
      </c>
      <c r="E35">
        <v>98</v>
      </c>
      <c r="F35">
        <v>99</v>
      </c>
      <c r="G35">
        <v>90</v>
      </c>
      <c r="H35">
        <v>109</v>
      </c>
      <c r="I35">
        <v>98</v>
      </c>
      <c r="J35">
        <v>102</v>
      </c>
      <c r="K35">
        <v>95</v>
      </c>
      <c r="L35">
        <v>104</v>
      </c>
      <c r="M35">
        <v>105</v>
      </c>
      <c r="N35">
        <v>102</v>
      </c>
      <c r="O35">
        <v>108</v>
      </c>
      <c r="P35">
        <v>107</v>
      </c>
      <c r="Q35">
        <v>120</v>
      </c>
      <c r="R35">
        <v>99</v>
      </c>
      <c r="S35">
        <v>99</v>
      </c>
      <c r="T35">
        <v>92</v>
      </c>
      <c r="U35">
        <v>108</v>
      </c>
    </row>
    <row r="36" spans="1:21" x14ac:dyDescent="0.15">
      <c r="A36">
        <v>2014</v>
      </c>
      <c r="B36">
        <v>104</v>
      </c>
      <c r="C36">
        <v>114</v>
      </c>
      <c r="D36">
        <v>105</v>
      </c>
      <c r="E36">
        <v>122</v>
      </c>
      <c r="F36">
        <v>102</v>
      </c>
      <c r="G36">
        <v>101</v>
      </c>
      <c r="H36">
        <v>94</v>
      </c>
      <c r="I36">
        <v>112</v>
      </c>
      <c r="J36">
        <v>87</v>
      </c>
      <c r="K36">
        <v>123</v>
      </c>
      <c r="L36">
        <v>116</v>
      </c>
      <c r="M36">
        <v>95</v>
      </c>
      <c r="N36">
        <v>112</v>
      </c>
      <c r="O36">
        <v>108</v>
      </c>
      <c r="P36">
        <v>106</v>
      </c>
      <c r="Q36">
        <v>99</v>
      </c>
      <c r="R36">
        <v>101</v>
      </c>
      <c r="S36">
        <v>118</v>
      </c>
      <c r="T36">
        <v>97</v>
      </c>
      <c r="U36">
        <v>96</v>
      </c>
    </row>
    <row r="37" spans="1:21" x14ac:dyDescent="0.15">
      <c r="A37">
        <v>2015</v>
      </c>
      <c r="B37">
        <v>105</v>
      </c>
      <c r="C37">
        <v>102</v>
      </c>
      <c r="D37">
        <v>118</v>
      </c>
      <c r="E37">
        <v>105</v>
      </c>
      <c r="F37">
        <v>105</v>
      </c>
      <c r="G37">
        <v>103</v>
      </c>
      <c r="H37">
        <v>131</v>
      </c>
      <c r="I37">
        <v>126</v>
      </c>
      <c r="J37">
        <v>114</v>
      </c>
      <c r="K37">
        <v>113</v>
      </c>
      <c r="L37">
        <v>118</v>
      </c>
      <c r="M37">
        <v>117</v>
      </c>
      <c r="N37">
        <v>110</v>
      </c>
      <c r="O37">
        <v>93</v>
      </c>
      <c r="P37">
        <v>124</v>
      </c>
      <c r="Q37">
        <v>107</v>
      </c>
      <c r="R37">
        <v>100</v>
      </c>
      <c r="S37">
        <v>98</v>
      </c>
      <c r="T37">
        <v>109</v>
      </c>
      <c r="U37">
        <v>102</v>
      </c>
    </row>
    <row r="38" spans="1:21" x14ac:dyDescent="0.15">
      <c r="A38">
        <v>2016</v>
      </c>
      <c r="B38">
        <v>115</v>
      </c>
      <c r="C38">
        <v>113</v>
      </c>
      <c r="D38">
        <v>128</v>
      </c>
      <c r="E38">
        <v>122</v>
      </c>
      <c r="F38">
        <v>115</v>
      </c>
      <c r="G38">
        <v>114</v>
      </c>
      <c r="H38">
        <v>110</v>
      </c>
      <c r="I38">
        <v>127</v>
      </c>
      <c r="J38">
        <v>122</v>
      </c>
      <c r="K38">
        <v>141</v>
      </c>
      <c r="L38">
        <v>139</v>
      </c>
      <c r="M38">
        <v>142</v>
      </c>
      <c r="N38">
        <v>135</v>
      </c>
      <c r="O38">
        <v>118</v>
      </c>
      <c r="P38">
        <v>126</v>
      </c>
      <c r="Q38">
        <v>106</v>
      </c>
      <c r="R38">
        <v>126</v>
      </c>
      <c r="S38">
        <v>117</v>
      </c>
      <c r="T38">
        <v>135</v>
      </c>
      <c r="U38">
        <v>111</v>
      </c>
    </row>
    <row r="39" spans="1:21" x14ac:dyDescent="0.15">
      <c r="A39">
        <v>2017</v>
      </c>
      <c r="B39">
        <v>128</v>
      </c>
      <c r="C39">
        <v>121</v>
      </c>
      <c r="D39">
        <v>117</v>
      </c>
      <c r="E39">
        <v>123</v>
      </c>
      <c r="F39">
        <v>110</v>
      </c>
      <c r="G39">
        <v>130</v>
      </c>
      <c r="H39">
        <v>120</v>
      </c>
      <c r="I39">
        <v>113</v>
      </c>
      <c r="J39">
        <v>142</v>
      </c>
      <c r="K39">
        <v>135</v>
      </c>
      <c r="L39">
        <v>119</v>
      </c>
      <c r="M39">
        <v>140</v>
      </c>
      <c r="N39">
        <v>124</v>
      </c>
      <c r="O39">
        <v>136</v>
      </c>
      <c r="P39">
        <v>132</v>
      </c>
      <c r="Q39">
        <v>150</v>
      </c>
      <c r="R39">
        <v>123</v>
      </c>
      <c r="S39">
        <v>134</v>
      </c>
      <c r="T39">
        <v>133</v>
      </c>
      <c r="U39">
        <v>131</v>
      </c>
    </row>
    <row r="40" spans="1:21" x14ac:dyDescent="0.15">
      <c r="A40">
        <v>2018</v>
      </c>
      <c r="B40">
        <v>133</v>
      </c>
      <c r="C40">
        <v>151</v>
      </c>
      <c r="D40">
        <v>135</v>
      </c>
      <c r="E40">
        <v>147</v>
      </c>
      <c r="F40">
        <v>146</v>
      </c>
      <c r="G40">
        <v>131</v>
      </c>
      <c r="H40">
        <v>147</v>
      </c>
      <c r="I40">
        <v>147</v>
      </c>
      <c r="J40">
        <v>118</v>
      </c>
      <c r="K40">
        <v>159</v>
      </c>
      <c r="L40">
        <v>156</v>
      </c>
      <c r="M40">
        <v>145</v>
      </c>
      <c r="N40">
        <v>144</v>
      </c>
      <c r="O40">
        <v>146</v>
      </c>
      <c r="P40">
        <v>150</v>
      </c>
      <c r="Q40">
        <v>153</v>
      </c>
      <c r="R40">
        <v>125</v>
      </c>
      <c r="S40">
        <v>151</v>
      </c>
      <c r="T40">
        <v>167</v>
      </c>
      <c r="U40">
        <v>144</v>
      </c>
    </row>
    <row r="41" spans="1:21" x14ac:dyDescent="0.15">
      <c r="A41">
        <v>2019</v>
      </c>
      <c r="B41">
        <v>166</v>
      </c>
      <c r="C41">
        <v>179</v>
      </c>
      <c r="D41">
        <v>134</v>
      </c>
      <c r="E41">
        <v>144</v>
      </c>
      <c r="F41">
        <v>167</v>
      </c>
      <c r="G41">
        <v>165</v>
      </c>
      <c r="H41">
        <v>146</v>
      </c>
      <c r="I41">
        <v>162</v>
      </c>
      <c r="J41">
        <v>158</v>
      </c>
      <c r="K41">
        <v>159</v>
      </c>
      <c r="L41">
        <v>174</v>
      </c>
      <c r="M41">
        <v>169</v>
      </c>
      <c r="N41">
        <v>150</v>
      </c>
      <c r="O41">
        <v>164</v>
      </c>
      <c r="P41">
        <v>179</v>
      </c>
      <c r="Q41">
        <v>150</v>
      </c>
      <c r="R41">
        <v>139</v>
      </c>
      <c r="S41">
        <v>173</v>
      </c>
      <c r="T41">
        <v>171</v>
      </c>
      <c r="U41">
        <v>177</v>
      </c>
    </row>
    <row r="42" spans="1:21" x14ac:dyDescent="0.15">
      <c r="A42">
        <v>2020</v>
      </c>
      <c r="B42">
        <v>190</v>
      </c>
      <c r="C42">
        <v>167</v>
      </c>
      <c r="D42">
        <v>161</v>
      </c>
      <c r="E42">
        <v>168</v>
      </c>
      <c r="F42">
        <v>172</v>
      </c>
      <c r="G42">
        <v>186</v>
      </c>
      <c r="H42">
        <v>203</v>
      </c>
      <c r="I42">
        <v>192</v>
      </c>
      <c r="J42">
        <v>169</v>
      </c>
      <c r="K42">
        <v>184</v>
      </c>
      <c r="L42">
        <v>168</v>
      </c>
      <c r="M42">
        <v>189</v>
      </c>
      <c r="N42">
        <v>191</v>
      </c>
      <c r="O42">
        <v>168</v>
      </c>
      <c r="P42">
        <v>162</v>
      </c>
      <c r="Q42">
        <v>193</v>
      </c>
      <c r="R42">
        <v>171</v>
      </c>
      <c r="S42">
        <v>176</v>
      </c>
      <c r="T42">
        <v>195</v>
      </c>
      <c r="U42">
        <v>191</v>
      </c>
    </row>
    <row r="43" spans="1:21" x14ac:dyDescent="0.15">
      <c r="A43">
        <v>2021</v>
      </c>
      <c r="B43">
        <v>175</v>
      </c>
      <c r="C43">
        <v>188</v>
      </c>
      <c r="D43">
        <v>196</v>
      </c>
      <c r="E43">
        <v>204</v>
      </c>
      <c r="F43">
        <v>177</v>
      </c>
      <c r="G43">
        <v>203</v>
      </c>
      <c r="H43">
        <v>199</v>
      </c>
      <c r="I43">
        <v>186</v>
      </c>
      <c r="J43">
        <v>173</v>
      </c>
      <c r="K43">
        <v>165</v>
      </c>
      <c r="L43">
        <v>180</v>
      </c>
      <c r="M43">
        <v>227</v>
      </c>
      <c r="N43">
        <v>161</v>
      </c>
      <c r="O43">
        <v>174</v>
      </c>
      <c r="P43">
        <v>200</v>
      </c>
      <c r="Q43">
        <v>190</v>
      </c>
      <c r="R43">
        <v>199</v>
      </c>
      <c r="S43">
        <v>208</v>
      </c>
      <c r="T43">
        <v>200</v>
      </c>
      <c r="U43">
        <v>204</v>
      </c>
    </row>
    <row r="44" spans="1:21" x14ac:dyDescent="0.15">
      <c r="A44">
        <v>2022</v>
      </c>
      <c r="B44">
        <v>186</v>
      </c>
      <c r="C44">
        <v>181</v>
      </c>
      <c r="D44">
        <v>179</v>
      </c>
      <c r="E44">
        <v>170</v>
      </c>
      <c r="F44">
        <v>183</v>
      </c>
      <c r="G44">
        <v>180</v>
      </c>
      <c r="H44">
        <v>187</v>
      </c>
      <c r="I44">
        <v>180</v>
      </c>
      <c r="J44">
        <v>181</v>
      </c>
      <c r="K44">
        <v>182</v>
      </c>
      <c r="L44">
        <v>172</v>
      </c>
      <c r="M44">
        <v>180</v>
      </c>
      <c r="N44">
        <v>189</v>
      </c>
      <c r="O44">
        <v>172</v>
      </c>
      <c r="P44">
        <v>174</v>
      </c>
      <c r="Q44">
        <v>169</v>
      </c>
      <c r="R44">
        <v>188</v>
      </c>
      <c r="S44">
        <v>180</v>
      </c>
      <c r="T44">
        <v>183</v>
      </c>
      <c r="U44">
        <v>170</v>
      </c>
    </row>
    <row r="45" spans="1:21" x14ac:dyDescent="0.15">
      <c r="A45">
        <v>2023</v>
      </c>
      <c r="B45">
        <v>210</v>
      </c>
      <c r="C45">
        <v>196</v>
      </c>
      <c r="D45">
        <v>190</v>
      </c>
      <c r="E45">
        <v>219</v>
      </c>
      <c r="F45">
        <v>212</v>
      </c>
      <c r="G45">
        <v>198</v>
      </c>
      <c r="H45">
        <v>190</v>
      </c>
      <c r="I45">
        <v>196</v>
      </c>
      <c r="J45">
        <v>177</v>
      </c>
      <c r="K45">
        <v>178</v>
      </c>
      <c r="L45">
        <v>212</v>
      </c>
      <c r="M45">
        <v>203</v>
      </c>
      <c r="N45">
        <v>183</v>
      </c>
      <c r="O45">
        <v>191</v>
      </c>
      <c r="P45">
        <v>175</v>
      </c>
      <c r="Q45">
        <v>223</v>
      </c>
      <c r="R45">
        <v>191</v>
      </c>
      <c r="S45">
        <v>227</v>
      </c>
      <c r="T45">
        <v>208</v>
      </c>
      <c r="U45">
        <v>206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8398A-F45A-EB43-884D-21BB78ADCA1E}">
  <sheetPr codeName="Sheet10"/>
  <dimension ref="A2:Y123"/>
  <sheetViews>
    <sheetView topLeftCell="A50" workbookViewId="0">
      <selection activeCell="M56" sqref="M56:R81"/>
    </sheetView>
  </sheetViews>
  <sheetFormatPr baseColWidth="10" defaultColWidth="11.5" defaultRowHeight="13" x14ac:dyDescent="0.15"/>
  <sheetData>
    <row r="2" spans="1:5" ht="28" x14ac:dyDescent="0.15">
      <c r="A2" s="51" t="s">
        <v>14</v>
      </c>
      <c r="B2" s="51" t="s">
        <v>153</v>
      </c>
      <c r="C2" s="51" t="s">
        <v>154</v>
      </c>
      <c r="D2" s="55" t="s">
        <v>155</v>
      </c>
      <c r="E2" s="55" t="s">
        <v>156</v>
      </c>
    </row>
    <row r="3" spans="1:5" x14ac:dyDescent="0.15">
      <c r="A3" s="51">
        <v>0</v>
      </c>
      <c r="B3" s="51">
        <v>3.5469999999999998E-3</v>
      </c>
      <c r="C3" s="52">
        <v>0</v>
      </c>
      <c r="D3" s="51">
        <v>3.5469999999999998E-3</v>
      </c>
      <c r="E3" s="51">
        <v>3.5469999999999998E-3</v>
      </c>
    </row>
    <row r="4" spans="1:5" x14ac:dyDescent="0.15">
      <c r="A4" s="51">
        <v>1</v>
      </c>
      <c r="B4" s="51">
        <v>3.3700000000000001E-4</v>
      </c>
      <c r="C4" s="52">
        <v>0</v>
      </c>
      <c r="D4" s="51">
        <v>3.3700000000000001E-4</v>
      </c>
      <c r="E4" s="51">
        <v>3.3700000000000001E-4</v>
      </c>
    </row>
    <row r="5" spans="1:5" x14ac:dyDescent="0.15">
      <c r="A5" s="51">
        <v>2</v>
      </c>
      <c r="B5" s="51">
        <v>2.4000000000000001E-4</v>
      </c>
      <c r="C5" s="52">
        <v>0</v>
      </c>
      <c r="D5" s="51">
        <v>2.4000000000000001E-4</v>
      </c>
      <c r="E5" s="51">
        <v>2.4000000000000001E-4</v>
      </c>
    </row>
    <row r="6" spans="1:5" x14ac:dyDescent="0.15">
      <c r="A6" s="51">
        <v>3</v>
      </c>
      <c r="B6" s="51">
        <v>1.8000000000000001E-4</v>
      </c>
      <c r="C6" s="52">
        <v>0</v>
      </c>
      <c r="D6" s="51">
        <v>1.8000000000000001E-4</v>
      </c>
      <c r="E6" s="51">
        <v>1.8000000000000001E-4</v>
      </c>
    </row>
    <row r="7" spans="1:5" x14ac:dyDescent="0.15">
      <c r="A7" s="51">
        <v>4</v>
      </c>
      <c r="B7" s="51">
        <v>1.5799999999999999E-4</v>
      </c>
      <c r="C7" s="52">
        <v>0</v>
      </c>
      <c r="D7" s="51">
        <v>1.5799999999999999E-4</v>
      </c>
      <c r="E7" s="51">
        <v>1.5799999999999999E-4</v>
      </c>
    </row>
    <row r="8" spans="1:5" x14ac:dyDescent="0.15">
      <c r="A8" s="51">
        <v>5</v>
      </c>
      <c r="B8" s="51">
        <v>1.47E-4</v>
      </c>
      <c r="C8" s="52">
        <v>0</v>
      </c>
      <c r="D8" s="51">
        <v>1.47E-4</v>
      </c>
      <c r="E8" s="51">
        <v>1.47E-4</v>
      </c>
    </row>
    <row r="9" spans="1:5" x14ac:dyDescent="0.15">
      <c r="A9" s="51">
        <v>6</v>
      </c>
      <c r="B9" s="51">
        <v>1.3799999999999999E-4</v>
      </c>
      <c r="C9" s="52">
        <v>0</v>
      </c>
      <c r="D9" s="51">
        <v>1.3799999999999999E-4</v>
      </c>
      <c r="E9" s="51">
        <v>1.3799999999999999E-4</v>
      </c>
    </row>
    <row r="10" spans="1:5" x14ac:dyDescent="0.15">
      <c r="A10" s="51">
        <v>7</v>
      </c>
      <c r="B10" s="51">
        <v>1.2899999999999999E-4</v>
      </c>
      <c r="C10" s="52">
        <v>0</v>
      </c>
      <c r="D10" s="51">
        <v>1.2899999999999999E-4</v>
      </c>
      <c r="E10" s="51">
        <v>1.2899999999999999E-4</v>
      </c>
    </row>
    <row r="11" spans="1:5" x14ac:dyDescent="0.15">
      <c r="A11" s="51">
        <v>8</v>
      </c>
      <c r="B11" s="51">
        <v>1.26E-4</v>
      </c>
      <c r="C11" s="52">
        <v>0</v>
      </c>
      <c r="D11" s="51">
        <v>1.26E-4</v>
      </c>
      <c r="E11" s="51">
        <v>1.26E-4</v>
      </c>
    </row>
    <row r="12" spans="1:5" x14ac:dyDescent="0.15">
      <c r="A12" s="51">
        <v>9</v>
      </c>
      <c r="B12" s="51">
        <v>1.25E-4</v>
      </c>
      <c r="C12" s="52">
        <v>0</v>
      </c>
      <c r="D12" s="51">
        <v>1.25E-4</v>
      </c>
      <c r="E12" s="51">
        <v>1.25E-4</v>
      </c>
    </row>
    <row r="13" spans="1:5" x14ac:dyDescent="0.15">
      <c r="A13" s="51">
        <v>10</v>
      </c>
      <c r="B13" s="51">
        <v>1.37E-4</v>
      </c>
      <c r="C13" s="52">
        <v>0</v>
      </c>
      <c r="D13" s="51">
        <v>1.37E-4</v>
      </c>
      <c r="E13" s="51">
        <v>1.37E-4</v>
      </c>
    </row>
    <row r="14" spans="1:5" x14ac:dyDescent="0.15">
      <c r="A14" s="51">
        <v>11</v>
      </c>
      <c r="B14" s="51">
        <v>1.45E-4</v>
      </c>
      <c r="C14" s="52">
        <v>0</v>
      </c>
      <c r="D14" s="51">
        <v>1.45E-4</v>
      </c>
      <c r="E14" s="51">
        <v>1.45E-4</v>
      </c>
    </row>
    <row r="15" spans="1:5" x14ac:dyDescent="0.15">
      <c r="A15" s="51">
        <v>12</v>
      </c>
      <c r="B15" s="51">
        <v>1.6100000000000001E-4</v>
      </c>
      <c r="C15" s="52">
        <v>0</v>
      </c>
      <c r="D15" s="51">
        <v>1.6100000000000001E-4</v>
      </c>
      <c r="E15" s="51">
        <v>1.6100000000000001E-4</v>
      </c>
    </row>
    <row r="16" spans="1:5" x14ac:dyDescent="0.15">
      <c r="A16" s="51">
        <v>13</v>
      </c>
      <c r="B16" s="51">
        <v>1.8100000000000001E-4</v>
      </c>
      <c r="C16" s="52">
        <v>0</v>
      </c>
      <c r="D16" s="51">
        <v>1.8100000000000001E-4</v>
      </c>
      <c r="E16" s="51">
        <v>1.8100000000000001E-4</v>
      </c>
    </row>
    <row r="17" spans="1:5" x14ac:dyDescent="0.15">
      <c r="A17" s="51">
        <v>14</v>
      </c>
      <c r="B17" s="51">
        <v>2.1699999999999999E-4</v>
      </c>
      <c r="C17" s="52">
        <v>0</v>
      </c>
      <c r="D17" s="51">
        <v>2.1699999999999999E-4</v>
      </c>
      <c r="E17" s="51">
        <v>2.1699999999999999E-4</v>
      </c>
    </row>
    <row r="18" spans="1:5" x14ac:dyDescent="0.15">
      <c r="A18" s="51">
        <v>15</v>
      </c>
      <c r="B18" s="51">
        <v>2.63E-4</v>
      </c>
      <c r="C18" s="52">
        <v>0</v>
      </c>
      <c r="D18" s="51">
        <v>2.63E-4</v>
      </c>
      <c r="E18" s="51">
        <v>3.7300000000000001E-4</v>
      </c>
    </row>
    <row r="19" spans="1:5" x14ac:dyDescent="0.15">
      <c r="A19" s="51">
        <v>16</v>
      </c>
      <c r="B19" s="51">
        <v>3.1500000000000001E-4</v>
      </c>
      <c r="C19" s="52">
        <v>0</v>
      </c>
      <c r="D19" s="51">
        <v>3.1500000000000001E-4</v>
      </c>
      <c r="E19" s="51">
        <v>4.5600000000000003E-4</v>
      </c>
    </row>
    <row r="20" spans="1:5" x14ac:dyDescent="0.15">
      <c r="A20" s="51">
        <v>17</v>
      </c>
      <c r="B20" s="51">
        <v>3.7599999999999998E-4</v>
      </c>
      <c r="C20" s="52">
        <v>0</v>
      </c>
      <c r="D20" s="51">
        <v>3.7599999999999998E-4</v>
      </c>
      <c r="E20" s="51">
        <v>5.4799999999999998E-4</v>
      </c>
    </row>
    <row r="21" spans="1:5" x14ac:dyDescent="0.15">
      <c r="A21" s="51">
        <v>18</v>
      </c>
      <c r="B21" s="51">
        <v>4.2400000000000001E-4</v>
      </c>
      <c r="C21" s="52">
        <v>8.3000000000000004E-2</v>
      </c>
      <c r="D21" s="51">
        <v>4.0700000000000003E-4</v>
      </c>
      <c r="E21" s="51">
        <v>6.0499999999999996E-4</v>
      </c>
    </row>
    <row r="22" spans="1:5" x14ac:dyDescent="0.15">
      <c r="A22" s="51">
        <v>19</v>
      </c>
      <c r="B22" s="51">
        <v>4.5899999999999999E-4</v>
      </c>
      <c r="C22" s="52">
        <v>8.3000000000000004E-2</v>
      </c>
      <c r="D22" s="51">
        <v>4.4099999999999999E-4</v>
      </c>
      <c r="E22" s="51">
        <v>6.6299999999999996E-4</v>
      </c>
    </row>
    <row r="23" spans="1:5" x14ac:dyDescent="0.15">
      <c r="A23" s="51">
        <v>20</v>
      </c>
      <c r="B23" s="51">
        <v>4.9600000000000002E-4</v>
      </c>
      <c r="C23" s="52">
        <v>8.3000000000000004E-2</v>
      </c>
      <c r="D23" s="51">
        <v>4.7600000000000002E-4</v>
      </c>
      <c r="E23" s="51">
        <v>7.1900000000000002E-4</v>
      </c>
    </row>
    <row r="24" spans="1:5" x14ac:dyDescent="0.15">
      <c r="A24" s="51">
        <v>21</v>
      </c>
      <c r="B24" s="51">
        <v>5.2099999999999998E-4</v>
      </c>
      <c r="C24" s="52">
        <v>8.3000000000000004E-2</v>
      </c>
      <c r="D24" s="51">
        <v>4.9899999999999999E-4</v>
      </c>
      <c r="E24" s="51">
        <v>7.6400000000000003E-4</v>
      </c>
    </row>
    <row r="25" spans="1:5" x14ac:dyDescent="0.15">
      <c r="A25" s="51">
        <v>22</v>
      </c>
      <c r="B25" s="51">
        <v>5.4000000000000001E-4</v>
      </c>
      <c r="C25" s="52">
        <v>8.3000000000000004E-2</v>
      </c>
      <c r="D25" s="51">
        <v>5.1599999999999997E-4</v>
      </c>
      <c r="E25" s="51">
        <v>8.0500000000000005E-4</v>
      </c>
    </row>
    <row r="26" spans="1:5" x14ac:dyDescent="0.15">
      <c r="A26" s="51">
        <v>23</v>
      </c>
      <c r="B26" s="51">
        <v>5.4299999999999997E-4</v>
      </c>
      <c r="C26" s="52">
        <v>8.3000000000000004E-2</v>
      </c>
      <c r="D26" s="51">
        <v>5.1699999999999999E-4</v>
      </c>
      <c r="E26" s="51">
        <v>8.2799999999999996E-4</v>
      </c>
    </row>
    <row r="27" spans="1:5" x14ac:dyDescent="0.15">
      <c r="A27" s="51">
        <v>24</v>
      </c>
      <c r="B27" s="51">
        <v>5.4500000000000002E-4</v>
      </c>
      <c r="C27" s="52">
        <v>8.3000000000000004E-2</v>
      </c>
      <c r="D27" s="51">
        <v>5.1900000000000004E-4</v>
      </c>
      <c r="E27" s="51">
        <v>8.3799999999999999E-4</v>
      </c>
    </row>
    <row r="28" spans="1:5" x14ac:dyDescent="0.15">
      <c r="A28" s="51">
        <v>25</v>
      </c>
      <c r="B28" s="51">
        <v>5.5599999999999996E-4</v>
      </c>
      <c r="C28" s="52">
        <v>0.19700000000000001</v>
      </c>
      <c r="D28" s="51">
        <v>4.8799999999999999E-4</v>
      </c>
      <c r="E28" s="51">
        <v>8.34E-4</v>
      </c>
    </row>
    <row r="29" spans="1:5" x14ac:dyDescent="0.15">
      <c r="A29" s="51">
        <v>26</v>
      </c>
      <c r="B29" s="51">
        <v>5.6800000000000004E-4</v>
      </c>
      <c r="C29" s="52">
        <v>0.19700000000000001</v>
      </c>
      <c r="D29" s="51">
        <v>4.9799999999999996E-4</v>
      </c>
      <c r="E29" s="51">
        <v>8.52E-4</v>
      </c>
    </row>
    <row r="30" spans="1:5" x14ac:dyDescent="0.15">
      <c r="A30" s="51">
        <v>27</v>
      </c>
      <c r="B30" s="51">
        <v>5.8299999999999997E-4</v>
      </c>
      <c r="C30" s="52">
        <v>0.19700000000000001</v>
      </c>
      <c r="D30" s="51">
        <v>5.1099999999999995E-4</v>
      </c>
      <c r="E30" s="51">
        <v>8.7399999999999999E-4</v>
      </c>
    </row>
    <row r="31" spans="1:5" x14ac:dyDescent="0.15">
      <c r="A31" s="51">
        <v>28</v>
      </c>
      <c r="B31" s="51">
        <v>5.9900000000000003E-4</v>
      </c>
      <c r="C31" s="52">
        <v>0.19700000000000001</v>
      </c>
      <c r="D31" s="51">
        <v>5.2499999999999997E-4</v>
      </c>
      <c r="E31" s="51">
        <v>8.9800000000000004E-4</v>
      </c>
    </row>
    <row r="32" spans="1:5" x14ac:dyDescent="0.15">
      <c r="A32" s="51">
        <v>29</v>
      </c>
      <c r="B32" s="51">
        <v>6.1899999999999998E-4</v>
      </c>
      <c r="C32" s="52">
        <v>0.19700000000000001</v>
      </c>
      <c r="D32" s="51">
        <v>5.4299999999999997E-4</v>
      </c>
      <c r="E32" s="51">
        <v>9.2900000000000003E-4</v>
      </c>
    </row>
    <row r="33" spans="1:5" x14ac:dyDescent="0.15">
      <c r="A33" s="51">
        <v>30</v>
      </c>
      <c r="B33" s="51">
        <v>6.4999999999999997E-4</v>
      </c>
      <c r="C33" s="52">
        <v>0.19700000000000001</v>
      </c>
      <c r="D33" s="51">
        <v>5.6999999999999998E-4</v>
      </c>
      <c r="E33" s="51">
        <v>9.7499999999999996E-4</v>
      </c>
    </row>
    <row r="34" spans="1:5" x14ac:dyDescent="0.15">
      <c r="A34" s="51">
        <v>31</v>
      </c>
      <c r="B34" s="51">
        <v>6.87E-4</v>
      </c>
      <c r="C34" s="52">
        <v>0.19700000000000001</v>
      </c>
      <c r="D34" s="51">
        <v>6.02E-4</v>
      </c>
      <c r="E34" s="51">
        <v>1.0300000000000001E-3</v>
      </c>
    </row>
    <row r="35" spans="1:5" x14ac:dyDescent="0.15">
      <c r="A35" s="51">
        <v>32</v>
      </c>
      <c r="B35" s="51">
        <v>7.2300000000000001E-4</v>
      </c>
      <c r="C35" s="52">
        <v>0.19700000000000001</v>
      </c>
      <c r="D35" s="51">
        <v>6.3500000000000004E-4</v>
      </c>
      <c r="E35" s="51">
        <v>1.085E-3</v>
      </c>
    </row>
    <row r="36" spans="1:5" x14ac:dyDescent="0.15">
      <c r="A36" s="51">
        <v>33</v>
      </c>
      <c r="B36" s="51">
        <v>7.6900000000000004E-4</v>
      </c>
      <c r="C36" s="52">
        <v>0.19700000000000001</v>
      </c>
      <c r="D36" s="51">
        <v>6.7500000000000004E-4</v>
      </c>
      <c r="E36" s="51">
        <v>1.1540000000000001E-3</v>
      </c>
    </row>
    <row r="37" spans="1:5" x14ac:dyDescent="0.15">
      <c r="A37" s="51">
        <v>34</v>
      </c>
      <c r="B37" s="51">
        <v>8.1700000000000002E-4</v>
      </c>
      <c r="C37" s="52">
        <v>0.19700000000000001</v>
      </c>
      <c r="D37" s="51">
        <v>7.1699999999999997E-4</v>
      </c>
      <c r="E37" s="51">
        <v>1.2260000000000001E-3</v>
      </c>
    </row>
    <row r="38" spans="1:5" x14ac:dyDescent="0.15">
      <c r="A38" s="51">
        <v>35</v>
      </c>
      <c r="B38" s="51">
        <v>8.7299999999999997E-4</v>
      </c>
      <c r="C38" s="52">
        <v>0.19700000000000001</v>
      </c>
      <c r="D38" s="51">
        <v>7.6599999999999997E-4</v>
      </c>
      <c r="E38" s="51">
        <v>1.31E-3</v>
      </c>
    </row>
    <row r="39" spans="1:5" x14ac:dyDescent="0.15">
      <c r="A39" s="51">
        <v>36</v>
      </c>
      <c r="B39" s="51">
        <v>9.5E-4</v>
      </c>
      <c r="C39" s="52">
        <v>0.19700000000000001</v>
      </c>
      <c r="D39" s="51">
        <v>8.3299999999999997E-4</v>
      </c>
      <c r="E39" s="51">
        <v>1.4250000000000001E-3</v>
      </c>
    </row>
    <row r="40" spans="1:5" x14ac:dyDescent="0.15">
      <c r="A40" s="51">
        <v>37</v>
      </c>
      <c r="B40" s="51">
        <v>1.039E-3</v>
      </c>
      <c r="C40" s="52">
        <v>0.19700000000000001</v>
      </c>
      <c r="D40" s="51">
        <v>9.1100000000000003E-4</v>
      </c>
      <c r="E40" s="51">
        <v>1.5579999999999999E-3</v>
      </c>
    </row>
    <row r="41" spans="1:5" x14ac:dyDescent="0.15">
      <c r="A41" s="51">
        <v>38</v>
      </c>
      <c r="B41" s="51">
        <v>1.1299999999999999E-3</v>
      </c>
      <c r="C41" s="52">
        <v>0.19700000000000001</v>
      </c>
      <c r="D41" s="51">
        <v>9.9200000000000004E-4</v>
      </c>
      <c r="E41" s="51">
        <v>1.696E-3</v>
      </c>
    </row>
    <row r="42" spans="1:5" x14ac:dyDescent="0.15">
      <c r="A42" s="51">
        <v>39</v>
      </c>
      <c r="B42" s="51">
        <v>1.2260000000000001E-3</v>
      </c>
      <c r="C42" s="52">
        <v>0.19700000000000001</v>
      </c>
      <c r="D42" s="51">
        <v>1.075E-3</v>
      </c>
      <c r="E42" s="51">
        <v>1.8389999999999999E-3</v>
      </c>
    </row>
    <row r="43" spans="1:5" x14ac:dyDescent="0.15">
      <c r="A43" s="51">
        <v>40</v>
      </c>
      <c r="B43" s="51">
        <v>1.3370000000000001E-3</v>
      </c>
      <c r="C43" s="52">
        <v>0.19700000000000001</v>
      </c>
      <c r="D43" s="51">
        <v>1.173E-3</v>
      </c>
      <c r="E43" s="51">
        <v>2.0049999999999998E-3</v>
      </c>
    </row>
    <row r="44" spans="1:5" x14ac:dyDescent="0.15">
      <c r="A44" s="51">
        <v>41</v>
      </c>
      <c r="B44" s="51">
        <v>1.4469999999999999E-3</v>
      </c>
      <c r="C44" s="52">
        <v>0.19700000000000001</v>
      </c>
      <c r="D44" s="51">
        <v>1.2700000000000001E-3</v>
      </c>
      <c r="E44" s="51">
        <v>2.1710000000000002E-3</v>
      </c>
    </row>
    <row r="45" spans="1:5" x14ac:dyDescent="0.15">
      <c r="A45" s="51">
        <v>42</v>
      </c>
      <c r="B45" s="51">
        <v>1.573E-3</v>
      </c>
      <c r="C45" s="52">
        <v>0.19700000000000001</v>
      </c>
      <c r="D45" s="51">
        <v>1.3799999999999999E-3</v>
      </c>
      <c r="E45" s="51">
        <v>2.3600000000000001E-3</v>
      </c>
    </row>
    <row r="46" spans="1:5" x14ac:dyDescent="0.15">
      <c r="A46" s="51">
        <v>43</v>
      </c>
      <c r="B46" s="51">
        <v>1.709E-3</v>
      </c>
      <c r="C46" s="52">
        <v>0.19700000000000001</v>
      </c>
      <c r="D46" s="51">
        <v>1.4989999999999999E-3</v>
      </c>
      <c r="E46" s="51">
        <v>2.5630000000000002E-3</v>
      </c>
    </row>
    <row r="47" spans="1:5" x14ac:dyDescent="0.15">
      <c r="A47" s="51">
        <v>44</v>
      </c>
      <c r="B47" s="51">
        <v>1.8569999999999999E-3</v>
      </c>
      <c r="C47" s="52">
        <v>0.19700000000000001</v>
      </c>
      <c r="D47" s="51">
        <v>1.629E-3</v>
      </c>
      <c r="E47" s="51">
        <v>2.7850000000000001E-3</v>
      </c>
    </row>
    <row r="48" spans="1:5" x14ac:dyDescent="0.15">
      <c r="A48" s="51">
        <v>45</v>
      </c>
      <c r="B48" s="51">
        <v>2.0140000000000002E-3</v>
      </c>
      <c r="C48" s="52">
        <v>0.23300000000000001</v>
      </c>
      <c r="D48" s="51">
        <v>1.7279999999999999E-3</v>
      </c>
      <c r="E48" s="51">
        <v>2.9550000000000002E-3</v>
      </c>
    </row>
    <row r="49" spans="1:25" x14ac:dyDescent="0.15">
      <c r="A49" s="51">
        <v>46</v>
      </c>
      <c r="B49" s="51">
        <v>2.199E-3</v>
      </c>
      <c r="C49" s="52">
        <v>0.23300000000000001</v>
      </c>
      <c r="D49" s="51">
        <v>1.8749999999999999E-3</v>
      </c>
      <c r="E49" s="51">
        <v>3.2620000000000001E-3</v>
      </c>
    </row>
    <row r="50" spans="1:25" x14ac:dyDescent="0.15">
      <c r="A50" s="51">
        <v>47</v>
      </c>
      <c r="B50" s="51">
        <v>2.4109999999999999E-3</v>
      </c>
      <c r="C50" s="52">
        <v>0.23300000000000001</v>
      </c>
      <c r="D50" s="51">
        <v>2.0560000000000001E-3</v>
      </c>
      <c r="E50" s="51">
        <v>3.5769999999999999E-3</v>
      </c>
    </row>
    <row r="51" spans="1:25" x14ac:dyDescent="0.15">
      <c r="A51" s="51">
        <v>48</v>
      </c>
      <c r="B51" s="51">
        <v>2.6350000000000002E-3</v>
      </c>
      <c r="C51" s="52">
        <v>0.23300000000000001</v>
      </c>
      <c r="D51" s="51">
        <v>2.2469999999999999E-3</v>
      </c>
      <c r="E51" s="51">
        <v>3.9100000000000003E-3</v>
      </c>
    </row>
    <row r="52" spans="1:25" x14ac:dyDescent="0.15">
      <c r="A52" s="51">
        <v>49</v>
      </c>
      <c r="B52" s="51">
        <v>2.8809999999999999E-3</v>
      </c>
      <c r="C52" s="52">
        <v>0.23300000000000001</v>
      </c>
      <c r="D52" s="51">
        <v>2.457E-3</v>
      </c>
      <c r="E52" s="51">
        <v>4.2750000000000002E-3</v>
      </c>
    </row>
    <row r="53" spans="1:25" x14ac:dyDescent="0.15">
      <c r="A53" s="51">
        <v>50</v>
      </c>
      <c r="B53" s="51">
        <v>3.1449999999999998E-3</v>
      </c>
      <c r="C53" s="52">
        <v>0.23300000000000001</v>
      </c>
      <c r="D53" s="51">
        <v>2.6819999999999999E-3</v>
      </c>
      <c r="E53" s="51">
        <v>4.6670000000000001E-3</v>
      </c>
    </row>
    <row r="54" spans="1:25" x14ac:dyDescent="0.15">
      <c r="A54" s="51">
        <v>51</v>
      </c>
      <c r="B54" s="51">
        <v>3.4489999999999998E-3</v>
      </c>
      <c r="C54" s="52">
        <v>0.23300000000000001</v>
      </c>
      <c r="D54" s="51">
        <v>2.941E-3</v>
      </c>
      <c r="E54" s="51">
        <v>5.1180000000000002E-3</v>
      </c>
    </row>
    <row r="55" spans="1:25" x14ac:dyDescent="0.15">
      <c r="A55" s="51">
        <v>52</v>
      </c>
      <c r="B55" s="51">
        <v>3.7950000000000002E-3</v>
      </c>
      <c r="C55" s="52">
        <v>0.23300000000000001</v>
      </c>
      <c r="D55" s="51">
        <v>2.0899999999999998E-3</v>
      </c>
      <c r="E55" s="51">
        <v>9.4039999999999992E-3</v>
      </c>
    </row>
    <row r="56" spans="1:25" x14ac:dyDescent="0.15">
      <c r="A56" s="51">
        <v>53</v>
      </c>
      <c r="B56" s="51">
        <v>4.1780000000000003E-3</v>
      </c>
      <c r="C56" s="52">
        <v>0.23300000000000001</v>
      </c>
      <c r="D56" s="51">
        <v>2.3E-3</v>
      </c>
      <c r="E56" s="51">
        <v>1.0351000000000001E-2</v>
      </c>
    </row>
    <row r="57" spans="1:25" x14ac:dyDescent="0.15">
      <c r="A57" s="51">
        <v>54</v>
      </c>
      <c r="B57" s="51">
        <v>4.6129999999999999E-3</v>
      </c>
      <c r="C57" s="52">
        <v>0.23300000000000001</v>
      </c>
      <c r="D57" s="51">
        <v>2.5400000000000002E-3</v>
      </c>
      <c r="E57" s="51">
        <v>1.1429E-2</v>
      </c>
      <c r="Y57">
        <v>8.3000000000000004E-2</v>
      </c>
    </row>
    <row r="58" spans="1:25" x14ac:dyDescent="0.15">
      <c r="A58" s="51">
        <v>55</v>
      </c>
      <c r="B58" s="51">
        <v>5.1060000000000003E-3</v>
      </c>
      <c r="C58" s="52">
        <v>0.23300000000000001</v>
      </c>
      <c r="D58" s="51">
        <v>2.8110000000000001E-3</v>
      </c>
      <c r="E58" s="51">
        <v>1.265E-2</v>
      </c>
      <c r="Y58">
        <v>8.3000000000000004E-2</v>
      </c>
    </row>
    <row r="59" spans="1:25" x14ac:dyDescent="0.15">
      <c r="A59" s="51">
        <v>56</v>
      </c>
      <c r="B59" s="51">
        <v>5.62E-3</v>
      </c>
      <c r="C59" s="52">
        <v>0.23300000000000001</v>
      </c>
      <c r="D59" s="51">
        <v>2.4620000000000002E-3</v>
      </c>
      <c r="E59" s="51">
        <v>1.6003E-2</v>
      </c>
      <c r="Y59">
        <v>8.3000000000000004E-2</v>
      </c>
    </row>
    <row r="60" spans="1:25" x14ac:dyDescent="0.15">
      <c r="A60" s="51">
        <v>57</v>
      </c>
      <c r="B60" s="51">
        <v>6.1700000000000001E-3</v>
      </c>
      <c r="C60" s="52">
        <v>0.23300000000000001</v>
      </c>
      <c r="D60" s="51">
        <v>2.7030000000000001E-3</v>
      </c>
      <c r="E60" s="51">
        <v>1.7569999999999999E-2</v>
      </c>
      <c r="Y60">
        <v>8.3000000000000004E-2</v>
      </c>
    </row>
    <row r="61" spans="1:25" x14ac:dyDescent="0.15">
      <c r="A61" s="51">
        <v>58</v>
      </c>
      <c r="B61" s="51">
        <v>6.7759999999999999E-3</v>
      </c>
      <c r="C61" s="52">
        <v>0.23300000000000001</v>
      </c>
      <c r="D61" s="51">
        <v>2.9680000000000002E-3</v>
      </c>
      <c r="E61" s="51">
        <v>1.9293999999999999E-2</v>
      </c>
      <c r="Y61">
        <v>8.3000000000000004E-2</v>
      </c>
    </row>
    <row r="62" spans="1:25" x14ac:dyDescent="0.15">
      <c r="A62" s="51">
        <v>59</v>
      </c>
      <c r="B62" s="51">
        <v>7.5009999999999999E-3</v>
      </c>
      <c r="C62" s="52">
        <v>0.23300000000000001</v>
      </c>
      <c r="D62" s="51">
        <v>3.2859999999999999E-3</v>
      </c>
      <c r="E62" s="51">
        <v>2.1359E-2</v>
      </c>
      <c r="Y62">
        <v>8.3000000000000004E-2</v>
      </c>
    </row>
    <row r="63" spans="1:25" x14ac:dyDescent="0.15">
      <c r="A63" s="51">
        <v>60</v>
      </c>
      <c r="B63" s="51">
        <v>8.2740000000000001E-3</v>
      </c>
      <c r="C63" s="52">
        <v>0.23300000000000001</v>
      </c>
      <c r="D63" s="51">
        <v>3.6250000000000002E-3</v>
      </c>
      <c r="E63" s="51">
        <v>2.3560999999999999E-2</v>
      </c>
      <c r="Y63">
        <v>8.3000000000000004E-2</v>
      </c>
    </row>
    <row r="64" spans="1:25" x14ac:dyDescent="0.15">
      <c r="A64" s="51">
        <v>61</v>
      </c>
      <c r="B64" s="51">
        <v>9.044E-3</v>
      </c>
      <c r="C64" s="52">
        <v>0.23300000000000001</v>
      </c>
      <c r="D64" s="51">
        <v>3.9620000000000002E-3</v>
      </c>
      <c r="E64" s="51">
        <v>2.5752000000000001E-2</v>
      </c>
      <c r="Y64">
        <v>8.3000000000000004E-2</v>
      </c>
    </row>
    <row r="65" spans="1:25" x14ac:dyDescent="0.15">
      <c r="A65" s="51">
        <v>62</v>
      </c>
      <c r="B65" s="51">
        <v>9.8910000000000005E-3</v>
      </c>
      <c r="C65" s="52">
        <v>0.23300000000000001</v>
      </c>
      <c r="D65" s="51">
        <v>4.333E-3</v>
      </c>
      <c r="E65" s="51">
        <v>2.8164000000000002E-2</v>
      </c>
      <c r="Y65">
        <v>8.3000000000000004E-2</v>
      </c>
    </row>
    <row r="66" spans="1:25" x14ac:dyDescent="0.15">
      <c r="A66" s="51">
        <v>63</v>
      </c>
      <c r="B66" s="51">
        <v>1.0792E-2</v>
      </c>
      <c r="C66" s="52">
        <v>0.23300000000000001</v>
      </c>
      <c r="D66" s="51">
        <v>4.7280000000000004E-3</v>
      </c>
      <c r="E66" s="51">
        <v>3.073E-2</v>
      </c>
      <c r="Y66">
        <v>8.3000000000000004E-2</v>
      </c>
    </row>
    <row r="67" spans="1:25" x14ac:dyDescent="0.15">
      <c r="A67" s="51">
        <v>64</v>
      </c>
      <c r="B67" s="51">
        <v>1.1795E-2</v>
      </c>
      <c r="C67" s="52">
        <v>0.23300000000000001</v>
      </c>
      <c r="D67" s="51">
        <v>5.1669999999999997E-3</v>
      </c>
      <c r="E67" s="51">
        <v>3.3585999999999998E-2</v>
      </c>
      <c r="Y67">
        <v>8.3000000000000004E-2</v>
      </c>
    </row>
    <row r="68" spans="1:25" x14ac:dyDescent="0.15">
      <c r="A68" s="51">
        <v>65</v>
      </c>
      <c r="B68" s="51">
        <v>1.2952E-2</v>
      </c>
      <c r="C68" s="52">
        <v>0.13</v>
      </c>
      <c r="D68" s="51">
        <v>7.5550000000000001E-3</v>
      </c>
      <c r="E68" s="51">
        <v>4.9105000000000003E-2</v>
      </c>
      <c r="Y68">
        <v>8.3000000000000004E-2</v>
      </c>
    </row>
    <row r="69" spans="1:25" x14ac:dyDescent="0.15">
      <c r="A69" s="51">
        <v>66</v>
      </c>
      <c r="B69" s="51">
        <v>1.4189E-2</v>
      </c>
      <c r="C69" s="52">
        <v>0.13</v>
      </c>
      <c r="D69" s="51">
        <v>8.2760000000000004E-3</v>
      </c>
      <c r="E69" s="51">
        <v>5.3790999999999999E-2</v>
      </c>
      <c r="Y69">
        <v>8.3000000000000004E-2</v>
      </c>
    </row>
    <row r="70" spans="1:25" x14ac:dyDescent="0.15">
      <c r="A70" s="51">
        <v>67</v>
      </c>
      <c r="B70" s="51">
        <v>1.5502999999999999E-2</v>
      </c>
      <c r="C70" s="52">
        <v>0.13</v>
      </c>
      <c r="D70" s="51">
        <v>9.0419999999999997E-3</v>
      </c>
      <c r="E70" s="51">
        <v>5.8776000000000002E-2</v>
      </c>
      <c r="Y70">
        <v>8.3000000000000004E-2</v>
      </c>
    </row>
    <row r="71" spans="1:25" x14ac:dyDescent="0.15">
      <c r="A71" s="51">
        <v>68</v>
      </c>
      <c r="B71" s="51">
        <v>1.6983000000000002E-2</v>
      </c>
      <c r="C71" s="52">
        <v>0.13</v>
      </c>
      <c r="D71" s="51">
        <v>9.9059999999999999E-3</v>
      </c>
      <c r="E71" s="51">
        <v>6.4387E-2</v>
      </c>
      <c r="Y71">
        <v>8.3000000000000004E-2</v>
      </c>
    </row>
    <row r="72" spans="1:25" x14ac:dyDescent="0.15">
      <c r="A72" s="51">
        <v>69</v>
      </c>
      <c r="B72" s="51">
        <v>1.8651999999999998E-2</v>
      </c>
      <c r="C72" s="52">
        <v>0.13</v>
      </c>
      <c r="D72" s="51">
        <v>1.0879E-2</v>
      </c>
      <c r="E72" s="51">
        <v>7.0711999999999997E-2</v>
      </c>
      <c r="Y72">
        <v>8.3000000000000004E-2</v>
      </c>
    </row>
    <row r="73" spans="1:25" x14ac:dyDescent="0.15">
      <c r="A73" s="51">
        <v>70</v>
      </c>
      <c r="B73" s="51">
        <v>2.0562E-2</v>
      </c>
      <c r="C73" s="52">
        <v>0.13</v>
      </c>
      <c r="D73" s="51">
        <v>1.1993E-2</v>
      </c>
      <c r="E73" s="51">
        <v>7.7954999999999997E-2</v>
      </c>
      <c r="Y73">
        <v>8.3000000000000004E-2</v>
      </c>
    </row>
    <row r="74" spans="1:25" x14ac:dyDescent="0.15">
      <c r="A74" s="51">
        <v>71</v>
      </c>
      <c r="B74" s="51">
        <v>2.2766000000000002E-2</v>
      </c>
      <c r="C74" s="52">
        <v>0.13</v>
      </c>
      <c r="D74" s="51">
        <v>9.7859999999999996E-3</v>
      </c>
      <c r="E74" s="51">
        <v>0.109699</v>
      </c>
      <c r="Y74">
        <v>8.3000000000000004E-2</v>
      </c>
    </row>
    <row r="75" spans="1:25" x14ac:dyDescent="0.15">
      <c r="A75" s="51">
        <v>72</v>
      </c>
      <c r="B75" s="51">
        <v>2.5307E-2</v>
      </c>
      <c r="C75" s="52">
        <v>0.13</v>
      </c>
      <c r="D75" s="51">
        <v>1.0878000000000001E-2</v>
      </c>
      <c r="E75" s="51">
        <v>0.121945</v>
      </c>
      <c r="Y75">
        <v>8.3000000000000004E-2</v>
      </c>
    </row>
    <row r="76" spans="1:25" x14ac:dyDescent="0.15">
      <c r="A76" s="51">
        <v>73</v>
      </c>
      <c r="B76" s="51">
        <v>2.8334000000000002E-2</v>
      </c>
      <c r="C76" s="52">
        <v>0.13</v>
      </c>
      <c r="D76" s="51">
        <v>1.2179000000000001E-2</v>
      </c>
      <c r="E76" s="51">
        <v>0.13653100000000001</v>
      </c>
      <c r="Y76">
        <v>8.3000000000000004E-2</v>
      </c>
    </row>
    <row r="77" spans="1:25" x14ac:dyDescent="0.15">
      <c r="A77" s="51">
        <v>74</v>
      </c>
      <c r="B77" s="51">
        <v>3.1824999999999999E-2</v>
      </c>
      <c r="C77" s="52">
        <v>0.13</v>
      </c>
      <c r="D77" s="51">
        <v>1.3679999999999999E-2</v>
      </c>
      <c r="E77" s="51">
        <v>0.15334999999999999</v>
      </c>
    </row>
    <row r="78" spans="1:25" x14ac:dyDescent="0.15">
      <c r="A78" s="51">
        <v>75</v>
      </c>
      <c r="B78" s="51">
        <v>3.5833999999999998E-2</v>
      </c>
      <c r="C78" s="52">
        <v>0.13</v>
      </c>
      <c r="D78" s="51">
        <v>1.5403E-2</v>
      </c>
      <c r="E78" s="51">
        <v>0.17266799999999999</v>
      </c>
    </row>
    <row r="79" spans="1:25" x14ac:dyDescent="0.15">
      <c r="A79" s="51">
        <v>76</v>
      </c>
      <c r="B79" s="51">
        <v>4.0465000000000001E-2</v>
      </c>
      <c r="C79" s="52">
        <v>0.13</v>
      </c>
      <c r="D79" s="51">
        <v>1.7394E-2</v>
      </c>
      <c r="E79" s="51">
        <v>0.19498399999999999</v>
      </c>
    </row>
    <row r="80" spans="1:25" x14ac:dyDescent="0.15">
      <c r="A80" s="51">
        <v>77</v>
      </c>
      <c r="B80" s="51">
        <v>4.5643000000000003E-2</v>
      </c>
      <c r="C80" s="52">
        <v>0.13</v>
      </c>
      <c r="D80" s="51">
        <v>1.9619999999999999E-2</v>
      </c>
      <c r="E80" s="51">
        <v>0.21993599999999999</v>
      </c>
    </row>
    <row r="81" spans="1:5" x14ac:dyDescent="0.15">
      <c r="A81" s="51">
        <v>78</v>
      </c>
      <c r="B81" s="51">
        <v>5.1406E-2</v>
      </c>
      <c r="C81" s="52">
        <v>0.13</v>
      </c>
      <c r="D81" s="51">
        <v>2.2096999999999999E-2</v>
      </c>
      <c r="E81" s="51">
        <v>0.24770300000000001</v>
      </c>
    </row>
    <row r="82" spans="1:5" x14ac:dyDescent="0.15">
      <c r="A82" s="51">
        <v>79</v>
      </c>
      <c r="B82" s="51">
        <v>5.7695999999999997E-2</v>
      </c>
      <c r="C82" s="52">
        <v>0.13</v>
      </c>
      <c r="D82" s="51">
        <v>2.4799999999999999E-2</v>
      </c>
      <c r="E82" s="51">
        <v>0.27801100000000001</v>
      </c>
    </row>
    <row r="83" spans="1:5" x14ac:dyDescent="0.15">
      <c r="A83" s="51">
        <v>80</v>
      </c>
      <c r="B83" s="51">
        <v>6.4610000000000001E-2</v>
      </c>
      <c r="C83" s="52">
        <v>0.13</v>
      </c>
      <c r="D83" s="51">
        <v>2.7772000000000002E-2</v>
      </c>
      <c r="E83" s="51">
        <v>0.31132700000000002</v>
      </c>
    </row>
    <row r="84" spans="1:5" x14ac:dyDescent="0.15">
      <c r="A84" s="51">
        <v>81</v>
      </c>
      <c r="B84" s="51">
        <v>7.2387999999999994E-2</v>
      </c>
      <c r="C84" s="52">
        <v>0.13</v>
      </c>
      <c r="D84" s="51">
        <v>3.1116000000000001E-2</v>
      </c>
      <c r="E84" s="51">
        <v>0.34880899999999998</v>
      </c>
    </row>
    <row r="85" spans="1:5" x14ac:dyDescent="0.15">
      <c r="A85" s="51">
        <v>82</v>
      </c>
      <c r="B85" s="51">
        <v>8.1129000000000007E-2</v>
      </c>
      <c r="C85" s="52">
        <v>0.13</v>
      </c>
      <c r="D85" s="51">
        <v>3.4873000000000001E-2</v>
      </c>
      <c r="E85" s="51">
        <v>0.390926</v>
      </c>
    </row>
    <row r="86" spans="1:5" x14ac:dyDescent="0.15">
      <c r="A86" s="51">
        <v>83</v>
      </c>
      <c r="B86" s="51">
        <v>9.0986999999999998E-2</v>
      </c>
      <c r="C86" s="52">
        <v>0.13</v>
      </c>
      <c r="D86" s="51">
        <v>3.9109999999999999E-2</v>
      </c>
      <c r="E86" s="51">
        <v>0.43842599999999998</v>
      </c>
    </row>
    <row r="87" spans="1:5" x14ac:dyDescent="0.15">
      <c r="A87" s="51">
        <v>84</v>
      </c>
      <c r="B87" s="51">
        <v>0.101636</v>
      </c>
      <c r="C87" s="52">
        <v>0.13</v>
      </c>
      <c r="D87" s="51">
        <v>4.3687999999999998E-2</v>
      </c>
      <c r="E87" s="51">
        <v>0.48973899999999998</v>
      </c>
    </row>
    <row r="88" spans="1:5" x14ac:dyDescent="0.15">
      <c r="A88" s="51">
        <v>85</v>
      </c>
      <c r="B88" s="51">
        <v>0.112763</v>
      </c>
      <c r="C88" s="52">
        <v>0.13</v>
      </c>
      <c r="D88" s="51">
        <v>4.8471E-2</v>
      </c>
      <c r="E88" s="51">
        <v>0.54335900000000004</v>
      </c>
    </row>
    <row r="89" spans="1:5" x14ac:dyDescent="0.15">
      <c r="A89" s="51">
        <v>86</v>
      </c>
      <c r="B89" s="51">
        <v>0.12490999999999999</v>
      </c>
      <c r="C89" s="52">
        <v>0.13</v>
      </c>
      <c r="D89" s="51">
        <v>6.1251E-2</v>
      </c>
      <c r="E89" s="51">
        <v>0.55125999999999997</v>
      </c>
    </row>
    <row r="90" spans="1:5" x14ac:dyDescent="0.15">
      <c r="A90" s="51">
        <v>87</v>
      </c>
      <c r="B90" s="51">
        <v>0.13803099999999999</v>
      </c>
      <c r="C90" s="52">
        <v>0.13</v>
      </c>
      <c r="D90" s="51">
        <v>6.7684999999999995E-2</v>
      </c>
      <c r="E90" s="51">
        <v>0.60916899999999996</v>
      </c>
    </row>
    <row r="91" spans="1:5" x14ac:dyDescent="0.15">
      <c r="A91" s="51">
        <v>88</v>
      </c>
      <c r="B91" s="51">
        <v>0.15248900000000001</v>
      </c>
      <c r="C91" s="52">
        <v>0.13</v>
      </c>
      <c r="D91" s="51">
        <v>7.4774999999999994E-2</v>
      </c>
      <c r="E91" s="51">
        <v>0.67297700000000005</v>
      </c>
    </row>
    <row r="92" spans="1:5" x14ac:dyDescent="0.15">
      <c r="A92" s="51">
        <v>89</v>
      </c>
      <c r="B92" s="51">
        <v>0.16847799999999999</v>
      </c>
      <c r="C92" s="52">
        <v>0.13</v>
      </c>
      <c r="D92" s="51">
        <v>8.2614999999999994E-2</v>
      </c>
      <c r="E92" s="51">
        <v>0.74353800000000003</v>
      </c>
    </row>
    <row r="93" spans="1:5" x14ac:dyDescent="0.15">
      <c r="A93" s="51">
        <v>90</v>
      </c>
      <c r="B93" s="51">
        <v>0.18435799999999999</v>
      </c>
      <c r="C93" s="52">
        <v>0.13</v>
      </c>
      <c r="D93" s="51">
        <v>9.0401999999999996E-2</v>
      </c>
      <c r="E93" s="51">
        <v>0.81362100000000004</v>
      </c>
    </row>
    <row r="94" spans="1:5" x14ac:dyDescent="0.15">
      <c r="A94" s="51">
        <v>91</v>
      </c>
      <c r="B94" s="51">
        <v>0.20150799999999999</v>
      </c>
      <c r="C94" s="52">
        <v>0.13</v>
      </c>
      <c r="D94" s="51">
        <v>0.11753</v>
      </c>
      <c r="E94" s="51">
        <v>0.76394499999999999</v>
      </c>
    </row>
    <row r="95" spans="1:5" x14ac:dyDescent="0.15">
      <c r="A95" s="51">
        <v>92</v>
      </c>
      <c r="B95" s="51">
        <v>0.21947800000000001</v>
      </c>
      <c r="C95" s="52">
        <v>0.13</v>
      </c>
      <c r="D95" s="51">
        <v>0.12801100000000001</v>
      </c>
      <c r="E95" s="51">
        <v>0.83207399999999998</v>
      </c>
    </row>
    <row r="96" spans="1:5" x14ac:dyDescent="0.15">
      <c r="A96" s="51">
        <v>93</v>
      </c>
      <c r="B96" s="51">
        <v>0.23804500000000001</v>
      </c>
      <c r="C96" s="52">
        <v>0.13</v>
      </c>
      <c r="D96" s="51">
        <v>0.13884099999999999</v>
      </c>
      <c r="E96" s="51">
        <v>0.90246400000000004</v>
      </c>
    </row>
    <row r="97" spans="1:5" x14ac:dyDescent="0.15">
      <c r="A97" s="51">
        <v>94</v>
      </c>
      <c r="B97" s="51">
        <v>0.257967</v>
      </c>
      <c r="C97" s="52">
        <v>0.13</v>
      </c>
      <c r="D97" s="51">
        <v>0.15046000000000001</v>
      </c>
      <c r="E97" s="51">
        <v>0.97798799999999997</v>
      </c>
    </row>
    <row r="98" spans="1:5" x14ac:dyDescent="0.15">
      <c r="A98" s="51">
        <v>95</v>
      </c>
      <c r="B98" s="51">
        <v>0.27845500000000001</v>
      </c>
      <c r="C98" s="52">
        <v>0.13</v>
      </c>
      <c r="D98" s="51">
        <v>0.16241</v>
      </c>
      <c r="E98" s="51">
        <v>1</v>
      </c>
    </row>
    <row r="99" spans="1:5" x14ac:dyDescent="0.15">
      <c r="A99" s="51">
        <v>96</v>
      </c>
      <c r="B99" s="51">
        <v>0.30015500000000001</v>
      </c>
      <c r="C99" s="52">
        <v>0.13</v>
      </c>
      <c r="D99" s="51">
        <v>0.175066</v>
      </c>
      <c r="E99" s="51">
        <v>1</v>
      </c>
    </row>
    <row r="100" spans="1:5" x14ac:dyDescent="0.15">
      <c r="A100" s="51">
        <v>97</v>
      </c>
      <c r="B100" s="51">
        <v>0.323127</v>
      </c>
      <c r="C100" s="52">
        <v>0.13</v>
      </c>
      <c r="D100" s="51">
        <v>0.18846499999999999</v>
      </c>
      <c r="E100" s="51">
        <v>1</v>
      </c>
    </row>
    <row r="101" spans="1:5" x14ac:dyDescent="0.15">
      <c r="A101" s="51">
        <v>98</v>
      </c>
      <c r="B101" s="51">
        <v>0.34652300000000003</v>
      </c>
      <c r="C101" s="52">
        <v>0.13</v>
      </c>
      <c r="D101" s="51">
        <v>0.20211100000000001</v>
      </c>
      <c r="E101" s="51">
        <v>1</v>
      </c>
    </row>
    <row r="102" spans="1:5" x14ac:dyDescent="0.15">
      <c r="A102" s="51">
        <v>99</v>
      </c>
      <c r="B102" s="51">
        <v>0.370973</v>
      </c>
      <c r="C102" s="52">
        <v>0.13</v>
      </c>
      <c r="D102" s="51">
        <v>0.21637100000000001</v>
      </c>
      <c r="E102" s="51">
        <v>1</v>
      </c>
    </row>
    <row r="103" spans="1:5" x14ac:dyDescent="0.15">
      <c r="A103" s="51">
        <v>100</v>
      </c>
      <c r="B103" s="51">
        <v>0.395588</v>
      </c>
      <c r="C103" s="52">
        <v>0.13</v>
      </c>
      <c r="D103" s="51">
        <v>0.23072799999999999</v>
      </c>
      <c r="E103" s="51">
        <v>1</v>
      </c>
    </row>
    <row r="104" spans="1:5" x14ac:dyDescent="0.15">
      <c r="A104" s="51">
        <v>101</v>
      </c>
      <c r="B104" s="51">
        <v>0.41980000000000001</v>
      </c>
      <c r="C104" s="52">
        <v>0.13</v>
      </c>
      <c r="D104" s="51">
        <v>0.24485000000000001</v>
      </c>
      <c r="E104" s="51">
        <v>1</v>
      </c>
    </row>
    <row r="105" spans="1:5" x14ac:dyDescent="0.15">
      <c r="A105" s="51">
        <v>102</v>
      </c>
      <c r="B105" s="51">
        <v>0.44459100000000001</v>
      </c>
      <c r="C105" s="52">
        <v>0.13</v>
      </c>
      <c r="D105" s="51">
        <v>0.25930900000000001</v>
      </c>
      <c r="E105" s="51">
        <v>1</v>
      </c>
    </row>
    <row r="106" spans="1:5" x14ac:dyDescent="0.15">
      <c r="A106" s="51">
        <v>103</v>
      </c>
      <c r="B106" s="51">
        <v>0.46981600000000001</v>
      </c>
      <c r="C106" s="52">
        <v>0.13</v>
      </c>
      <c r="D106" s="51">
        <v>0.27402199999999999</v>
      </c>
      <c r="E106" s="51">
        <v>1</v>
      </c>
    </row>
    <row r="107" spans="1:5" x14ac:dyDescent="0.15">
      <c r="A107" s="51">
        <v>104</v>
      </c>
      <c r="B107" s="51">
        <v>0.49531199999999997</v>
      </c>
      <c r="C107" s="52">
        <v>0.13</v>
      </c>
      <c r="D107" s="51">
        <v>0.28889199999999998</v>
      </c>
      <c r="E107" s="51">
        <v>1</v>
      </c>
    </row>
    <row r="108" spans="1:5" x14ac:dyDescent="0.15">
      <c r="A108" s="51">
        <v>105</v>
      </c>
      <c r="B108" s="51">
        <v>0.52091799999999999</v>
      </c>
      <c r="C108" s="52">
        <v>0.13</v>
      </c>
      <c r="D108" s="51">
        <v>0.30382700000000001</v>
      </c>
      <c r="E108" s="51">
        <v>1</v>
      </c>
    </row>
    <row r="109" spans="1:5" x14ac:dyDescent="0.15">
      <c r="A109" s="51">
        <v>106</v>
      </c>
      <c r="B109" s="51">
        <v>0.54666000000000003</v>
      </c>
      <c r="C109" s="52">
        <v>0.13</v>
      </c>
      <c r="D109" s="51">
        <v>0.31884099999999999</v>
      </c>
      <c r="E109" s="51">
        <v>1</v>
      </c>
    </row>
    <row r="110" spans="1:5" x14ac:dyDescent="0.15">
      <c r="A110" s="51">
        <v>107</v>
      </c>
      <c r="B110" s="51">
        <v>0.57258500000000001</v>
      </c>
      <c r="C110" s="52">
        <v>0.13</v>
      </c>
      <c r="D110" s="51">
        <v>0.33396199999999998</v>
      </c>
      <c r="E110" s="51">
        <v>1</v>
      </c>
    </row>
    <row r="111" spans="1:5" x14ac:dyDescent="0.15">
      <c r="A111" s="51">
        <v>108</v>
      </c>
      <c r="B111" s="51">
        <v>0.59854600000000002</v>
      </c>
      <c r="C111" s="52">
        <v>0.13</v>
      </c>
      <c r="D111" s="51">
        <v>0.68791500000000005</v>
      </c>
      <c r="E111" s="51">
        <v>1</v>
      </c>
    </row>
    <row r="112" spans="1:5" x14ac:dyDescent="0.15">
      <c r="A112" s="51">
        <v>109</v>
      </c>
      <c r="B112" s="51">
        <v>0.62439199999999995</v>
      </c>
      <c r="C112" s="52">
        <v>0.13</v>
      </c>
      <c r="D112" s="51">
        <v>0.71762000000000004</v>
      </c>
      <c r="E112" s="51">
        <v>1</v>
      </c>
    </row>
    <row r="113" spans="1:5" x14ac:dyDescent="0.15">
      <c r="A113" s="51">
        <v>110</v>
      </c>
      <c r="B113" s="51">
        <v>0.65439899999999995</v>
      </c>
      <c r="C113" s="52">
        <v>0.13</v>
      </c>
      <c r="D113" s="51">
        <v>0.752108</v>
      </c>
      <c r="E113" s="51">
        <v>1</v>
      </c>
    </row>
    <row r="114" spans="1:5" x14ac:dyDescent="0.15">
      <c r="A114" s="51">
        <v>111</v>
      </c>
      <c r="B114" s="51">
        <v>0.68424300000000005</v>
      </c>
      <c r="C114" s="52">
        <v>0.13</v>
      </c>
      <c r="D114" s="51">
        <v>0.78640699999999997</v>
      </c>
      <c r="E114" s="51">
        <v>1</v>
      </c>
    </row>
    <row r="115" spans="1:5" x14ac:dyDescent="0.15">
      <c r="A115" s="51">
        <v>112</v>
      </c>
      <c r="B115" s="51">
        <v>0.71388700000000005</v>
      </c>
      <c r="C115" s="52">
        <v>0.13</v>
      </c>
      <c r="D115" s="51">
        <v>0.82047700000000001</v>
      </c>
      <c r="E115" s="51">
        <v>1</v>
      </c>
    </row>
    <row r="116" spans="1:5" x14ac:dyDescent="0.15">
      <c r="A116" s="51">
        <v>113</v>
      </c>
      <c r="B116" s="51">
        <v>0.74329400000000001</v>
      </c>
      <c r="C116" s="52">
        <v>0.13</v>
      </c>
      <c r="D116" s="51">
        <v>0.85427500000000001</v>
      </c>
      <c r="E116" s="51">
        <v>1</v>
      </c>
    </row>
    <row r="117" spans="1:5" x14ac:dyDescent="0.15">
      <c r="A117" s="51">
        <v>114</v>
      </c>
      <c r="B117" s="51">
        <v>0.772428</v>
      </c>
      <c r="C117" s="52">
        <v>0.13</v>
      </c>
      <c r="D117" s="51">
        <v>0.88775999999999999</v>
      </c>
      <c r="E117" s="51">
        <v>1</v>
      </c>
    </row>
    <row r="118" spans="1:5" x14ac:dyDescent="0.15">
      <c r="A118" s="51">
        <v>115</v>
      </c>
      <c r="B118" s="51">
        <v>0.80141399999999996</v>
      </c>
      <c r="C118" s="52">
        <v>0.13</v>
      </c>
      <c r="D118" s="51">
        <v>0.92107300000000003</v>
      </c>
      <c r="E118" s="51">
        <v>1</v>
      </c>
    </row>
    <row r="119" spans="1:5" x14ac:dyDescent="0.15">
      <c r="A119" s="51">
        <v>116</v>
      </c>
      <c r="B119" s="51">
        <v>0.830399</v>
      </c>
      <c r="C119" s="52">
        <v>0.13</v>
      </c>
      <c r="D119" s="51">
        <v>0.95438699999999999</v>
      </c>
      <c r="E119" s="51">
        <v>1</v>
      </c>
    </row>
    <row r="120" spans="1:5" x14ac:dyDescent="0.15">
      <c r="A120" s="51">
        <v>117</v>
      </c>
      <c r="B120" s="51">
        <v>0.85938499999999995</v>
      </c>
      <c r="C120" s="52">
        <v>0.13</v>
      </c>
      <c r="D120" s="51">
        <v>0.98770000000000002</v>
      </c>
      <c r="E120" s="51">
        <v>1</v>
      </c>
    </row>
    <row r="121" spans="1:5" x14ac:dyDescent="0.15">
      <c r="A121" s="51">
        <v>118</v>
      </c>
      <c r="B121" s="51">
        <v>0.88837100000000002</v>
      </c>
      <c r="C121" s="52">
        <v>0.13</v>
      </c>
      <c r="D121" s="51">
        <v>1</v>
      </c>
      <c r="E121" s="51">
        <v>1</v>
      </c>
    </row>
    <row r="122" spans="1:5" x14ac:dyDescent="0.15">
      <c r="A122" s="51">
        <v>119</v>
      </c>
      <c r="B122" s="51">
        <v>1</v>
      </c>
      <c r="C122" s="52">
        <v>0.13</v>
      </c>
      <c r="D122" s="51">
        <v>1</v>
      </c>
      <c r="E122" s="51">
        <v>1</v>
      </c>
    </row>
    <row r="123" spans="1:5" x14ac:dyDescent="0.15">
      <c r="A123" s="51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20 Year Smoker</vt:lpstr>
      <vt:lpstr>20 Year Smoker W Intervention</vt:lpstr>
      <vt:lpstr>Term Smoker Mortality Exp</vt:lpstr>
      <vt:lpstr>20 Year Non-Smoker</vt:lpstr>
      <vt:lpstr>20 Year Non-Smoker W Inter</vt:lpstr>
      <vt:lpstr>20 Year NonSmoker Mortality Exp</vt:lpstr>
      <vt:lpstr>Whole Life Non Smoker</vt:lpstr>
      <vt:lpstr>Whole Life Non-Smoker W Inter</vt:lpstr>
      <vt:lpstr>WL Non-Smoker Mortality Exp</vt:lpstr>
      <vt:lpstr>Mortality Table Latest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rowley</dc:creator>
  <cp:keywords/>
  <dc:description/>
  <cp:lastModifiedBy>Yukeshan Easwaran</cp:lastModifiedBy>
  <cp:revision/>
  <dcterms:created xsi:type="dcterms:W3CDTF">2009-03-21T19:30:56Z</dcterms:created>
  <dcterms:modified xsi:type="dcterms:W3CDTF">2024-03-22T11:09:43Z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629862571</vt:i4>
  </property>
  <property fmtid="{D5CDD505-2E9C-101B-9397-08002B2CF9AE}" pid="4" name="_EmailSubject">
    <vt:lpwstr>Chapter 13</vt:lpwstr>
  </property>
  <property fmtid="{D5CDD505-2E9C-101B-9397-08002B2CF9AE}" pid="5" name="_AuthorEmail">
    <vt:lpwstr>richard.lyon@invivo.com.au</vt:lpwstr>
  </property>
  <property fmtid="{D5CDD505-2E9C-101B-9397-08002B2CF9AE}" pid="6" name="_AuthorEmailDisplayName">
    <vt:lpwstr>Richard Lyon</vt:lpwstr>
  </property>
  <property fmtid="{D5CDD505-2E9C-101B-9397-08002B2CF9AE}" pid="7" name="_ReviewingToolsShownOnce">
    <vt:lpwstr/>
  </property>
</Properties>
</file>